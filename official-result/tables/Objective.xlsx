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EvalPlus\experiments\official-result\"/>
    </mc:Choice>
  </mc:AlternateContent>
  <xr:revisionPtr revIDLastSave="0" documentId="13_ncr:1_{CFF81E91-27DC-47A4-BF37-4188A4170BFC}" xr6:coauthVersionLast="47" xr6:coauthVersionMax="47" xr10:uidLastSave="{00000000-0000-0000-0000-000000000000}"/>
  <bookViews>
    <workbookView xWindow="-108" yWindow="-108" windowWidth="30936" windowHeight="16776" xr2:uid="{65FDB119-FDB9-4FAE-B7E6-2D01D20E3B9A}"/>
  </bookViews>
  <sheets>
    <sheet name="Formatted" sheetId="1" r:id="rId1"/>
    <sheet name="Calculation" sheetId="5" r:id="rId2"/>
    <sheet name="Python Pivot" sheetId="4" r:id="rId3"/>
    <sheet name="Python" sheetId="2" r:id="rId4"/>
    <sheet name="Java Pivot" sheetId="8" r:id="rId5"/>
    <sheet name="Java" sheetId="7" r:id="rId6"/>
    <sheet name="JavaScript Pivot" sheetId="6" r:id="rId7"/>
    <sheet name="JavaScript" sheetId="3" r:id="rId8"/>
  </sheets>
  <definedNames>
    <definedName name="_xlnm._FilterDatabase" localSheetId="7" hidden="1">JavaScript!$A$1:$I$47</definedName>
  </definedNames>
  <calcPr calcId="181029"/>
  <pivotCaches>
    <pivotCache cacheId="66" r:id="rId9"/>
    <pivotCache cacheId="78" r:id="rId10"/>
    <pivotCache cacheId="9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M21" i="1"/>
  <c r="N21" i="1"/>
  <c r="M22" i="1"/>
  <c r="N22" i="1"/>
  <c r="C23" i="1"/>
  <c r="D23" i="1"/>
  <c r="E23" i="1"/>
  <c r="F23" i="1"/>
  <c r="G23" i="1"/>
  <c r="H23" i="1"/>
  <c r="I23" i="1"/>
  <c r="J23" i="1"/>
  <c r="K23" i="1"/>
  <c r="L23" i="1"/>
  <c r="M23" i="1"/>
  <c r="N23" i="1"/>
  <c r="N50" i="5"/>
  <c r="M50" i="5"/>
  <c r="C50" i="5"/>
  <c r="D50" i="5"/>
  <c r="E50" i="5"/>
  <c r="F50" i="5"/>
  <c r="G50" i="5"/>
  <c r="H50" i="5"/>
  <c r="I50" i="5"/>
  <c r="J50" i="5"/>
  <c r="K50" i="5"/>
  <c r="L50" i="5"/>
  <c r="B50" i="5"/>
  <c r="M16" i="1"/>
  <c r="N16" i="1"/>
  <c r="M17" i="1"/>
  <c r="N17" i="1"/>
  <c r="M18" i="1"/>
  <c r="N18" i="1"/>
  <c r="M19" i="1"/>
  <c r="N19" i="1"/>
  <c r="M20" i="1"/>
  <c r="N20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B7" i="1"/>
  <c r="C7" i="1"/>
  <c r="D7" i="1"/>
  <c r="E7" i="1"/>
  <c r="F7" i="1"/>
  <c r="G7" i="1"/>
  <c r="H7" i="1"/>
  <c r="I7" i="1"/>
  <c r="J7" i="1"/>
  <c r="K7" i="1"/>
  <c r="L7" i="1"/>
  <c r="M7" i="1"/>
  <c r="N7" i="1"/>
  <c r="B8" i="1"/>
  <c r="C8" i="1"/>
  <c r="D8" i="1"/>
  <c r="E8" i="1"/>
  <c r="F8" i="1"/>
  <c r="G8" i="1"/>
  <c r="H8" i="1"/>
  <c r="I8" i="1"/>
  <c r="J8" i="1"/>
  <c r="K8" i="1"/>
  <c r="L8" i="1"/>
  <c r="M8" i="1"/>
  <c r="N8" i="1"/>
  <c r="B9" i="1"/>
  <c r="C9" i="1"/>
  <c r="D9" i="1"/>
  <c r="E9" i="1"/>
  <c r="F9" i="1"/>
  <c r="G9" i="1"/>
  <c r="H9" i="1"/>
  <c r="I9" i="1"/>
  <c r="J9" i="1"/>
  <c r="K9" i="1"/>
  <c r="L9" i="1"/>
  <c r="M9" i="1"/>
  <c r="N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J38" i="5"/>
  <c r="K38" i="5"/>
  <c r="L38" i="5"/>
  <c r="M46" i="5"/>
  <c r="B49" i="5"/>
  <c r="C49" i="5"/>
  <c r="D49" i="5"/>
  <c r="E49" i="5"/>
  <c r="F49" i="5"/>
  <c r="G49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N32" i="5" s="1"/>
  <c r="N3" i="1" s="1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P10" i="5"/>
  <c r="Q10" i="5"/>
  <c r="R10" i="5"/>
  <c r="S10" i="5"/>
  <c r="T10" i="5"/>
  <c r="U10" i="5"/>
  <c r="V10" i="5"/>
  <c r="W10" i="5"/>
  <c r="H38" i="5" s="1"/>
  <c r="X10" i="5"/>
  <c r="I38" i="5" s="1"/>
  <c r="Y10" i="5"/>
  <c r="Z10" i="5"/>
  <c r="AA10" i="5"/>
  <c r="AB10" i="5"/>
  <c r="AC10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P15" i="5"/>
  <c r="Q15" i="5"/>
  <c r="R15" i="5"/>
  <c r="S15" i="5"/>
  <c r="T15" i="5"/>
  <c r="U15" i="5"/>
  <c r="V15" i="5"/>
  <c r="W15" i="5"/>
  <c r="X15" i="5"/>
  <c r="Y15" i="5"/>
  <c r="J43" i="5" s="1"/>
  <c r="Z15" i="5"/>
  <c r="K43" i="5" s="1"/>
  <c r="AA15" i="5"/>
  <c r="AB15" i="5"/>
  <c r="AC15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P17" i="5"/>
  <c r="Q17" i="5"/>
  <c r="R17" i="5"/>
  <c r="S17" i="5"/>
  <c r="T17" i="5"/>
  <c r="U17" i="5"/>
  <c r="V17" i="5"/>
  <c r="W17" i="5"/>
  <c r="X17" i="5"/>
  <c r="Y17" i="5"/>
  <c r="Z17" i="5"/>
  <c r="AA17" i="5"/>
  <c r="L45" i="5" s="1"/>
  <c r="AB17" i="5"/>
  <c r="AC17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4" i="5"/>
  <c r="B4" i="5"/>
  <c r="B32" i="5" s="1"/>
  <c r="B3" i="1" s="1"/>
  <c r="C4" i="5"/>
  <c r="D4" i="5"/>
  <c r="D32" i="5" s="1"/>
  <c r="D3" i="1" s="1"/>
  <c r="E4" i="5"/>
  <c r="E32" i="5" s="1"/>
  <c r="E3" i="1" s="1"/>
  <c r="F4" i="5"/>
  <c r="F32" i="5" s="1"/>
  <c r="F3" i="1" s="1"/>
  <c r="G4" i="5"/>
  <c r="G32" i="5" s="1"/>
  <c r="G3" i="1" s="1"/>
  <c r="H4" i="5"/>
  <c r="H32" i="5" s="1"/>
  <c r="H3" i="1" s="1"/>
  <c r="I4" i="5"/>
  <c r="I32" i="5" s="1"/>
  <c r="I3" i="1" s="1"/>
  <c r="J4" i="5"/>
  <c r="J32" i="5" s="1"/>
  <c r="J3" i="1" s="1"/>
  <c r="K4" i="5"/>
  <c r="L4" i="5"/>
  <c r="M4" i="5"/>
  <c r="N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N33" i="5" s="1"/>
  <c r="N4" i="1" s="1"/>
  <c r="A6" i="5"/>
  <c r="B6" i="5"/>
  <c r="B34" i="5" s="1"/>
  <c r="B5" i="1" s="1"/>
  <c r="C6" i="5"/>
  <c r="C34" i="5" s="1"/>
  <c r="C5" i="1" s="1"/>
  <c r="D6" i="5"/>
  <c r="D34" i="5" s="1"/>
  <c r="D5" i="1" s="1"/>
  <c r="E6" i="5"/>
  <c r="E34" i="5" s="1"/>
  <c r="E5" i="1" s="1"/>
  <c r="F6" i="5"/>
  <c r="F34" i="5" s="1"/>
  <c r="F5" i="1" s="1"/>
  <c r="G6" i="5"/>
  <c r="G34" i="5" s="1"/>
  <c r="G5" i="1" s="1"/>
  <c r="H6" i="5"/>
  <c r="H34" i="5" s="1"/>
  <c r="H5" i="1" s="1"/>
  <c r="I6" i="5"/>
  <c r="I34" i="5" s="1"/>
  <c r="I5" i="1" s="1"/>
  <c r="J6" i="5"/>
  <c r="J34" i="5" s="1"/>
  <c r="J5" i="1" s="1"/>
  <c r="K6" i="5"/>
  <c r="K34" i="5" s="1"/>
  <c r="K5" i="1" s="1"/>
  <c r="L6" i="5"/>
  <c r="L34" i="5" s="1"/>
  <c r="L5" i="1" s="1"/>
  <c r="M6" i="5"/>
  <c r="M34" i="5" s="1"/>
  <c r="M5" i="1" s="1"/>
  <c r="N6" i="5"/>
  <c r="A7" i="5"/>
  <c r="B7" i="5"/>
  <c r="B35" i="5" s="1"/>
  <c r="C7" i="5"/>
  <c r="C35" i="5" s="1"/>
  <c r="D7" i="5"/>
  <c r="E7" i="5"/>
  <c r="F7" i="5"/>
  <c r="G7" i="5"/>
  <c r="H7" i="5"/>
  <c r="I7" i="5"/>
  <c r="J7" i="5"/>
  <c r="K7" i="5"/>
  <c r="L7" i="5"/>
  <c r="M7" i="5"/>
  <c r="N7" i="5"/>
  <c r="A8" i="5"/>
  <c r="B8" i="5"/>
  <c r="C8" i="5"/>
  <c r="D8" i="5"/>
  <c r="D36" i="5" s="1"/>
  <c r="E8" i="5"/>
  <c r="E36" i="5" s="1"/>
  <c r="F8" i="5"/>
  <c r="F36" i="5" s="1"/>
  <c r="G8" i="5"/>
  <c r="G36" i="5" s="1"/>
  <c r="H8" i="5"/>
  <c r="H36" i="5" s="1"/>
  <c r="I8" i="5"/>
  <c r="I36" i="5" s="1"/>
  <c r="J8" i="5"/>
  <c r="J36" i="5" s="1"/>
  <c r="K8" i="5"/>
  <c r="K36" i="5" s="1"/>
  <c r="L8" i="5"/>
  <c r="L36" i="5" s="1"/>
  <c r="M8" i="5"/>
  <c r="M36" i="5" s="1"/>
  <c r="N8" i="5"/>
  <c r="N36" i="5" s="1"/>
  <c r="A10" i="5"/>
  <c r="B10" i="5"/>
  <c r="B38" i="5" s="1"/>
  <c r="C10" i="5"/>
  <c r="C38" i="5" s="1"/>
  <c r="D10" i="5"/>
  <c r="D38" i="5" s="1"/>
  <c r="E10" i="5"/>
  <c r="E38" i="5" s="1"/>
  <c r="F10" i="5"/>
  <c r="G10" i="5"/>
  <c r="H10" i="5"/>
  <c r="I10" i="5"/>
  <c r="J10" i="5"/>
  <c r="K10" i="5"/>
  <c r="L10" i="5"/>
  <c r="M10" i="5"/>
  <c r="N10" i="5"/>
  <c r="N38" i="5" s="1"/>
  <c r="A11" i="5"/>
  <c r="B11" i="5"/>
  <c r="C11" i="5"/>
  <c r="D11" i="5"/>
  <c r="E11" i="5"/>
  <c r="E39" i="5" s="1"/>
  <c r="F11" i="5"/>
  <c r="F39" i="5" s="1"/>
  <c r="G11" i="5"/>
  <c r="H11" i="5"/>
  <c r="H39" i="5" s="1"/>
  <c r="I11" i="5"/>
  <c r="I39" i="5" s="1"/>
  <c r="J11" i="5"/>
  <c r="J39" i="5" s="1"/>
  <c r="K11" i="5"/>
  <c r="K39" i="5" s="1"/>
  <c r="L11" i="5"/>
  <c r="L39" i="5" s="1"/>
  <c r="M11" i="5"/>
  <c r="M39" i="5" s="1"/>
  <c r="N11" i="5"/>
  <c r="N39" i="5" s="1"/>
  <c r="A12" i="5"/>
  <c r="B12" i="5"/>
  <c r="B40" i="5" s="1"/>
  <c r="C12" i="5"/>
  <c r="C40" i="5" s="1"/>
  <c r="D12" i="5"/>
  <c r="E12" i="5"/>
  <c r="F12" i="5"/>
  <c r="F40" i="5" s="1"/>
  <c r="G12" i="5"/>
  <c r="G40" i="5" s="1"/>
  <c r="H12" i="5"/>
  <c r="H40" i="5" s="1"/>
  <c r="I12" i="5"/>
  <c r="I40" i="5" s="1"/>
  <c r="J12" i="5"/>
  <c r="J40" i="5" s="1"/>
  <c r="K12" i="5"/>
  <c r="K40" i="5" s="1"/>
  <c r="L12" i="5"/>
  <c r="M12" i="5"/>
  <c r="N12" i="5"/>
  <c r="A13" i="5"/>
  <c r="B13" i="5"/>
  <c r="C13" i="5"/>
  <c r="D13" i="5"/>
  <c r="D41" i="5" s="1"/>
  <c r="E13" i="5"/>
  <c r="E41" i="5" s="1"/>
  <c r="F13" i="5"/>
  <c r="G13" i="5"/>
  <c r="H13" i="5"/>
  <c r="I13" i="5"/>
  <c r="J13" i="5"/>
  <c r="K13" i="5"/>
  <c r="L13" i="5"/>
  <c r="L41" i="5" s="1"/>
  <c r="M13" i="5"/>
  <c r="M41" i="5" s="1"/>
  <c r="N13" i="5"/>
  <c r="N41" i="5" s="1"/>
  <c r="A14" i="5"/>
  <c r="B14" i="5"/>
  <c r="B42" i="5" s="1"/>
  <c r="C14" i="5"/>
  <c r="C42" i="5" s="1"/>
  <c r="D14" i="5"/>
  <c r="D42" i="5" s="1"/>
  <c r="E14" i="5"/>
  <c r="E42" i="5" s="1"/>
  <c r="F14" i="5"/>
  <c r="F42" i="5" s="1"/>
  <c r="G14" i="5"/>
  <c r="G42" i="5" s="1"/>
  <c r="H14" i="5"/>
  <c r="H42" i="5" s="1"/>
  <c r="I14" i="5"/>
  <c r="J14" i="5"/>
  <c r="K14" i="5"/>
  <c r="L14" i="5"/>
  <c r="L42" i="5" s="1"/>
  <c r="M14" i="5"/>
  <c r="M42" i="5" s="1"/>
  <c r="N14" i="5"/>
  <c r="N42" i="5" s="1"/>
  <c r="A15" i="5"/>
  <c r="B15" i="5"/>
  <c r="C15" i="5"/>
  <c r="D15" i="5"/>
  <c r="E15" i="5"/>
  <c r="F15" i="5"/>
  <c r="G15" i="5"/>
  <c r="H15" i="5"/>
  <c r="H43" i="5" s="1"/>
  <c r="I15" i="5"/>
  <c r="I43" i="5" s="1"/>
  <c r="J15" i="5"/>
  <c r="K15" i="5"/>
  <c r="L15" i="5"/>
  <c r="M15" i="5"/>
  <c r="N15" i="5"/>
  <c r="A16" i="5"/>
  <c r="B16" i="5"/>
  <c r="B44" i="5" s="1"/>
  <c r="C16" i="5"/>
  <c r="C44" i="5" s="1"/>
  <c r="D16" i="5"/>
  <c r="D44" i="5" s="1"/>
  <c r="E16" i="5"/>
  <c r="E44" i="5" s="1"/>
  <c r="F16" i="5"/>
  <c r="F44" i="5" s="1"/>
  <c r="G16" i="5"/>
  <c r="G44" i="5" s="1"/>
  <c r="H16" i="5"/>
  <c r="H44" i="5" s="1"/>
  <c r="I16" i="5"/>
  <c r="I44" i="5" s="1"/>
  <c r="J16" i="5"/>
  <c r="J44" i="5" s="1"/>
  <c r="K16" i="5"/>
  <c r="K44" i="5" s="1"/>
  <c r="L16" i="5"/>
  <c r="L44" i="5" s="1"/>
  <c r="M16" i="5"/>
  <c r="M44" i="5" s="1"/>
  <c r="N16" i="5"/>
  <c r="A17" i="5"/>
  <c r="B17" i="5"/>
  <c r="C17" i="5"/>
  <c r="D17" i="5"/>
  <c r="E17" i="5"/>
  <c r="E45" i="5" s="1"/>
  <c r="F17" i="5"/>
  <c r="G17" i="5"/>
  <c r="H17" i="5"/>
  <c r="I17" i="5"/>
  <c r="J17" i="5"/>
  <c r="K17" i="5"/>
  <c r="L17" i="5"/>
  <c r="M17" i="5"/>
  <c r="N17" i="5"/>
  <c r="A18" i="5"/>
  <c r="B18" i="5"/>
  <c r="C18" i="5"/>
  <c r="D18" i="5"/>
  <c r="E18" i="5"/>
  <c r="F18" i="5"/>
  <c r="F46" i="5" s="1"/>
  <c r="G18" i="5"/>
  <c r="G46" i="5" s="1"/>
  <c r="H18" i="5"/>
  <c r="H46" i="5" s="1"/>
  <c r="I18" i="5"/>
  <c r="I46" i="5" s="1"/>
  <c r="J18" i="5"/>
  <c r="J46" i="5" s="1"/>
  <c r="K18" i="5"/>
  <c r="K46" i="5" s="1"/>
  <c r="L18" i="5"/>
  <c r="L46" i="5" s="1"/>
  <c r="M18" i="5"/>
  <c r="N18" i="5"/>
  <c r="N46" i="5" s="1"/>
  <c r="A19" i="5"/>
  <c r="B19" i="5"/>
  <c r="B47" i="5" s="1"/>
  <c r="C19" i="5"/>
  <c r="C47" i="5" s="1"/>
  <c r="D19" i="5"/>
  <c r="D47" i="5" s="1"/>
  <c r="E19" i="5"/>
  <c r="F19" i="5"/>
  <c r="F47" i="5" s="1"/>
  <c r="G19" i="5"/>
  <c r="H19" i="5"/>
  <c r="I19" i="5"/>
  <c r="J19" i="5"/>
  <c r="K19" i="5"/>
  <c r="L19" i="5"/>
  <c r="M19" i="5"/>
  <c r="N19" i="5"/>
  <c r="A20" i="5"/>
  <c r="B20" i="5"/>
  <c r="C20" i="5"/>
  <c r="D20" i="5"/>
  <c r="E20" i="5"/>
  <c r="F20" i="5"/>
  <c r="G20" i="5"/>
  <c r="H20" i="5"/>
  <c r="I20" i="5"/>
  <c r="J20" i="5"/>
  <c r="J48" i="5" s="1"/>
  <c r="K20" i="5"/>
  <c r="K48" i="5" s="1"/>
  <c r="L20" i="5"/>
  <c r="L48" i="5" s="1"/>
  <c r="M20" i="5"/>
  <c r="M48" i="5" s="1"/>
  <c r="N20" i="5"/>
  <c r="N48" i="5" s="1"/>
  <c r="A21" i="5"/>
  <c r="B21" i="5"/>
  <c r="C21" i="5"/>
  <c r="D21" i="5"/>
  <c r="E21" i="5"/>
  <c r="F21" i="5"/>
  <c r="G21" i="5"/>
  <c r="H21" i="5"/>
  <c r="H49" i="5" s="1"/>
  <c r="I21" i="5"/>
  <c r="I49" i="5" s="1"/>
  <c r="J21" i="5"/>
  <c r="J49" i="5" s="1"/>
  <c r="K21" i="5"/>
  <c r="L21" i="5"/>
  <c r="L49" i="5" s="1"/>
  <c r="M21" i="5"/>
  <c r="M49" i="5" s="1"/>
  <c r="N21" i="5"/>
  <c r="K41" i="5" l="1"/>
  <c r="G39" i="5"/>
  <c r="C36" i="5"/>
  <c r="M33" i="5"/>
  <c r="M4" i="1" s="1"/>
  <c r="E47" i="5"/>
  <c r="K42" i="5"/>
  <c r="N44" i="5"/>
  <c r="M32" i="5"/>
  <c r="M3" i="1" s="1"/>
  <c r="K32" i="5"/>
  <c r="K3" i="1" s="1"/>
  <c r="N43" i="5"/>
  <c r="G48" i="5"/>
  <c r="C46" i="5"/>
  <c r="M43" i="5"/>
  <c r="I41" i="5"/>
  <c r="K33" i="5"/>
  <c r="K4" i="1" s="1"/>
  <c r="I42" i="5"/>
  <c r="E40" i="5"/>
  <c r="D45" i="5"/>
  <c r="G47" i="5"/>
  <c r="B45" i="5"/>
  <c r="I48" i="5"/>
  <c r="L33" i="5"/>
  <c r="L4" i="1" s="1"/>
  <c r="F48" i="5"/>
  <c r="B46" i="5"/>
  <c r="L43" i="5"/>
  <c r="H41" i="5"/>
  <c r="D39" i="5"/>
  <c r="N35" i="5"/>
  <c r="J33" i="5"/>
  <c r="J4" i="1" s="1"/>
  <c r="D40" i="5"/>
  <c r="E46" i="5"/>
  <c r="H48" i="5"/>
  <c r="J42" i="5"/>
  <c r="E48" i="5"/>
  <c r="G41" i="5"/>
  <c r="C39" i="5"/>
  <c r="M35" i="5"/>
  <c r="I33" i="5"/>
  <c r="I4" i="1" s="1"/>
  <c r="D46" i="5"/>
  <c r="D48" i="5"/>
  <c r="N45" i="5"/>
  <c r="F41" i="5"/>
  <c r="B39" i="5"/>
  <c r="L35" i="5"/>
  <c r="H33" i="5"/>
  <c r="H4" i="1" s="1"/>
  <c r="J41" i="5"/>
  <c r="C48" i="5"/>
  <c r="M45" i="5"/>
  <c r="K35" i="5"/>
  <c r="G33" i="5"/>
  <c r="G4" i="1" s="1"/>
  <c r="C32" i="5"/>
  <c r="C3" i="1" s="1"/>
  <c r="C45" i="5"/>
  <c r="N34" i="5"/>
  <c r="N5" i="1" s="1"/>
  <c r="B36" i="5"/>
  <c r="B48" i="5"/>
  <c r="J35" i="5"/>
  <c r="F33" i="5"/>
  <c r="F4" i="1" s="1"/>
  <c r="H47" i="5"/>
  <c r="K49" i="5"/>
  <c r="K45" i="5"/>
  <c r="G43" i="5"/>
  <c r="C41" i="5"/>
  <c r="M38" i="5"/>
  <c r="I35" i="5"/>
  <c r="E33" i="5"/>
  <c r="E4" i="1" s="1"/>
  <c r="B41" i="5"/>
  <c r="H35" i="5"/>
  <c r="D33" i="5"/>
  <c r="D4" i="1" s="1"/>
  <c r="E43" i="5"/>
  <c r="F43" i="5"/>
  <c r="I45" i="5"/>
  <c r="N40" i="5"/>
  <c r="K47" i="5"/>
  <c r="G45" i="5"/>
  <c r="C43" i="5"/>
  <c r="M40" i="5"/>
  <c r="E35" i="5"/>
  <c r="I47" i="5"/>
  <c r="G38" i="5"/>
  <c r="F38" i="5"/>
  <c r="L32" i="5"/>
  <c r="L3" i="1" s="1"/>
  <c r="N47" i="5"/>
  <c r="J45" i="5"/>
  <c r="M47" i="5"/>
  <c r="G35" i="5"/>
  <c r="C33" i="5"/>
  <c r="C4" i="1" s="1"/>
  <c r="L47" i="5"/>
  <c r="H45" i="5"/>
  <c r="D43" i="5"/>
  <c r="F35" i="5"/>
  <c r="B33" i="5"/>
  <c r="B4" i="1" s="1"/>
  <c r="N49" i="5"/>
  <c r="J47" i="5"/>
  <c r="F45" i="5"/>
  <c r="B43" i="5"/>
  <c r="L40" i="5"/>
  <c r="D35" i="5"/>
</calcChain>
</file>

<file path=xl/sharedStrings.xml><?xml version="1.0" encoding="utf-8"?>
<sst xmlns="http://schemas.openxmlformats.org/spreadsheetml/2006/main" count="1578" uniqueCount="274">
  <si>
    <t>date</t>
  </si>
  <si>
    <t>model</t>
  </si>
  <si>
    <t>mode</t>
  </si>
  <si>
    <t>timestamp</t>
  </si>
  <si>
    <t>level</t>
  </si>
  <si>
    <t>checklist</t>
  </si>
  <si>
    <t>skeleton</t>
  </si>
  <si>
    <t>code</t>
  </si>
  <si>
    <t>parameter</t>
  </si>
  <si>
    <t>20251024-1-python</t>
  </si>
  <si>
    <t>codellama-13b</t>
  </si>
  <si>
    <t>direct</t>
  </si>
  <si>
    <t>20251027-124148</t>
  </si>
  <si>
    <t>None</t>
  </si>
  <si>
    <t>codellama-34b</t>
  </si>
  <si>
    <t>20251027-120902</t>
  </si>
  <si>
    <t>deepseek-coder-33b</t>
  </si>
  <si>
    <t>20251027-125123</t>
  </si>
  <si>
    <t>deepseek-coder-6.7b</t>
  </si>
  <si>
    <t>20251027-131027</t>
  </si>
  <si>
    <t>gemma3-12b</t>
  </si>
  <si>
    <t>cascade</t>
  </si>
  <si>
    <t>20251024-131206</t>
  </si>
  <si>
    <t>20251024-152512</t>
  </si>
  <si>
    <t>20251025-035647</t>
  </si>
  <si>
    <t>20251026-000440</t>
  </si>
  <si>
    <t>20251026-124526</t>
  </si>
  <si>
    <t>gemma3-27b</t>
  </si>
  <si>
    <t>20251024-164054</t>
  </si>
  <si>
    <t>20251024-191431</t>
  </si>
  <si>
    <t>20251026-153202</t>
  </si>
  <si>
    <t>20251026-160357</t>
  </si>
  <si>
    <t>20251026-163553</t>
  </si>
  <si>
    <t>gpt-oss-20b</t>
  </si>
  <si>
    <t>20251027-144655</t>
  </si>
  <si>
    <t>20251027-231354</t>
  </si>
  <si>
    <t>20251028-103017</t>
  </si>
  <si>
    <t>20251028-111620</t>
  </si>
  <si>
    <t>20251028-115311</t>
  </si>
  <si>
    <t>llama3.1-8b</t>
  </si>
  <si>
    <t>20251025-021937</t>
  </si>
  <si>
    <t>20251025-023857</t>
  </si>
  <si>
    <t>20251027-115021</t>
  </si>
  <si>
    <t>20251027-115407</t>
  </si>
  <si>
    <t>20251027-115903</t>
  </si>
  <si>
    <t>llama3.3-70b</t>
  </si>
  <si>
    <t>20251024-221451</t>
  </si>
  <si>
    <t>20251024-234322</t>
  </si>
  <si>
    <t>20251026-185922</t>
  </si>
  <si>
    <t>20251026-201451</t>
  </si>
  <si>
    <t>20251027-023405</t>
  </si>
  <si>
    <t>phi4-14b</t>
  </si>
  <si>
    <t>20251024-203820</t>
  </si>
  <si>
    <t>20251024-205026</t>
  </si>
  <si>
    <t>20251026-171609</t>
  </si>
  <si>
    <t>20251026-173028</t>
  </si>
  <si>
    <t>20251026-174741</t>
  </si>
  <si>
    <t>qwen2.5-coder-14b</t>
  </si>
  <si>
    <t>20251026-184354</t>
  </si>
  <si>
    <t>qwen2.5-coder-32b</t>
  </si>
  <si>
    <t>20251026-180746</t>
  </si>
  <si>
    <t>qwen3-14b</t>
  </si>
  <si>
    <t>20251028-033643</t>
  </si>
  <si>
    <t>20251028-043312</t>
  </si>
  <si>
    <t>20251028-151558</t>
  </si>
  <si>
    <t>20251028-153838</t>
  </si>
  <si>
    <t>20251028-160505</t>
  </si>
  <si>
    <t>qwen3-30b</t>
  </si>
  <si>
    <t>20251028-054300</t>
  </si>
  <si>
    <t>20251028-062711</t>
  </si>
  <si>
    <t>20251028-163205</t>
  </si>
  <si>
    <t>20251028-172008</t>
  </si>
  <si>
    <t>20251028-181114</t>
  </si>
  <si>
    <t>pyclosesources</t>
  </si>
  <si>
    <t>gemini-2.5-flash</t>
  </si>
  <si>
    <t>20251030-074046</t>
  </si>
  <si>
    <t>20251030-091527</t>
  </si>
  <si>
    <t>20251030-102457</t>
  </si>
  <si>
    <t>20251030-110655</t>
  </si>
  <si>
    <t>20251030-115800</t>
  </si>
  <si>
    <t>gpt-3.5-turbo</t>
  </si>
  <si>
    <t>20251029-185302</t>
  </si>
  <si>
    <t>20251029-185942</t>
  </si>
  <si>
    <t>20251029-190602</t>
  </si>
  <si>
    <t>20251029-191051</t>
  </si>
  <si>
    <t>20251029-191658</t>
  </si>
  <si>
    <t>gpt-5</t>
  </si>
  <si>
    <t>20251030-040002</t>
  </si>
  <si>
    <t>20251030-081054</t>
  </si>
  <si>
    <t>20251030-112043</t>
  </si>
  <si>
    <t>20251030-143432</t>
  </si>
  <si>
    <t>20251030-183910</t>
  </si>
  <si>
    <t>20251020-1</t>
  </si>
  <si>
    <t>20251020-214045</t>
  </si>
  <si>
    <t>20251020-222603</t>
  </si>
  <si>
    <t>20251021-170829</t>
  </si>
  <si>
    <t>20251021-171901</t>
  </si>
  <si>
    <t>20251020-234444</t>
  </si>
  <si>
    <t>20251021-020650</t>
  </si>
  <si>
    <t>20251021-175635</t>
  </si>
  <si>
    <t>20251021-190720</t>
  </si>
  <si>
    <t>20251020-165124</t>
  </si>
  <si>
    <t>20251020-174636</t>
  </si>
  <si>
    <t>20251021-152301</t>
  </si>
  <si>
    <t>20251021-154018</t>
  </si>
  <si>
    <t>20251020-202744</t>
  </si>
  <si>
    <t>20251020-210501</t>
  </si>
  <si>
    <t>20251021-015727</t>
  </si>
  <si>
    <t>20251021-020411</t>
  </si>
  <si>
    <t>20251020-165147</t>
  </si>
  <si>
    <t>20251020-181934</t>
  </si>
  <si>
    <t>20251020-221221</t>
  </si>
  <si>
    <t>20251020-230128</t>
  </si>
  <si>
    <t>20251021-131225</t>
  </si>
  <si>
    <t>20251021-142018</t>
  </si>
  <si>
    <t>20251021-234154</t>
  </si>
  <si>
    <t>20251021-235733</t>
  </si>
  <si>
    <t>20251021-042928</t>
  </si>
  <si>
    <t>20251021-070105</t>
  </si>
  <si>
    <t>20251021-210247</t>
  </si>
  <si>
    <t>20251021-211834</t>
  </si>
  <si>
    <t>20251021-093719</t>
  </si>
  <si>
    <t>20251021-110129</t>
  </si>
  <si>
    <t>20251021-215732</t>
  </si>
  <si>
    <t>20251021-222933</t>
  </si>
  <si>
    <t>js-closesources</t>
  </si>
  <si>
    <t>20251029-103141</t>
  </si>
  <si>
    <t>20251029-103801</t>
  </si>
  <si>
    <t>20251029-104251</t>
  </si>
  <si>
    <t>20251029-104710</t>
  </si>
  <si>
    <t>20251029-105119</t>
  </si>
  <si>
    <t>20251029-060314</t>
  </si>
  <si>
    <t>20251029-111936</t>
  </si>
  <si>
    <t>20251029-142441</t>
  </si>
  <si>
    <t>20251029-162314</t>
  </si>
  <si>
    <t>20251029-181051</t>
  </si>
  <si>
    <t>20251030-025443</t>
  </si>
  <si>
    <t>20251030-035616</t>
  </si>
  <si>
    <t>20251030-044830</t>
  </si>
  <si>
    <t>20251030-052716</t>
  </si>
  <si>
    <t>20251030-060822</t>
  </si>
  <si>
    <t>e</t>
  </si>
  <si>
    <t>#</t>
  </si>
  <si>
    <t>Close-source</t>
  </si>
  <si>
    <t>AGI</t>
  </si>
  <si>
    <t>LLM</t>
  </si>
  <si>
    <t>Agents</t>
  </si>
  <si>
    <t>GPT-3.5-turbo</t>
  </si>
  <si>
    <t>GPT-5</t>
  </si>
  <si>
    <t>Open-source</t>
  </si>
  <si>
    <t>GPT-oss-20b</t>
  </si>
  <si>
    <t>Gemma3-12b</t>
  </si>
  <si>
    <t>Gemma3-27b</t>
  </si>
  <si>
    <t>Qwen3-14b</t>
  </si>
  <si>
    <t>Qwen3-30b</t>
  </si>
  <si>
    <t>Llama3.1-8b</t>
  </si>
  <si>
    <t>Llama3.3-70b</t>
  </si>
  <si>
    <t>Phi4-14b</t>
  </si>
  <si>
    <t>Coding</t>
  </si>
  <si>
    <t>Qwen2.5-coder-14b</t>
  </si>
  <si>
    <t>Qwen2.5-coder-32b</t>
  </si>
  <si>
    <t>Codellama-13b</t>
  </si>
  <si>
    <t>Codellama-32b</t>
  </si>
  <si>
    <t>Codellama-70b</t>
  </si>
  <si>
    <t>Deepseek-coder-6.7b</t>
  </si>
  <si>
    <t>Deepseek-coder-33b</t>
  </si>
  <si>
    <t>Average</t>
  </si>
  <si>
    <t>Model</t>
  </si>
  <si>
    <t>Cascade_Level1_CL</t>
  </si>
  <si>
    <t>Cascade_Level1_SK</t>
  </si>
  <si>
    <t>Cascade_Level1_Code</t>
  </si>
  <si>
    <t>Cascade_Level1_PV</t>
  </si>
  <si>
    <t>Cascade_Level2_SK</t>
  </si>
  <si>
    <t>Cascade_Level2_Code</t>
  </si>
  <si>
    <t>Cascade_Level2_PV</t>
  </si>
  <si>
    <t>End2End_Level1_Code</t>
  </si>
  <si>
    <t>End2End_Level1_PV</t>
  </si>
  <si>
    <t>End2End_Level2_Code</t>
  </si>
  <si>
    <t>End2End_Level2_PV</t>
  </si>
  <si>
    <t>Level3_Code</t>
  </si>
  <si>
    <t>Level3_PV</t>
  </si>
  <si>
    <t>总计</t>
  </si>
  <si>
    <t>平均值项:checklist汇总</t>
  </si>
  <si>
    <t>平均值项:checklist</t>
  </si>
  <si>
    <t>平均值项:skeleton汇总</t>
  </si>
  <si>
    <t>平均值项:skeleton</t>
  </si>
  <si>
    <t>平均值项:code汇总</t>
  </si>
  <si>
    <t>平均值项:code</t>
  </si>
  <si>
    <t>平均值项:parameter汇总</t>
  </si>
  <si>
    <t>平均值项:parameter</t>
  </si>
  <si>
    <t>值</t>
  </si>
  <si>
    <t>source</t>
  </si>
  <si>
    <t>open</t>
  </si>
  <si>
    <t>close</t>
  </si>
  <si>
    <t>Gemini-2.5-flash</t>
  </si>
  <si>
    <t>20251028-1-jsdirect3</t>
  </si>
  <si>
    <t>20251029-033943</t>
  </si>
  <si>
    <t>20251029-003016</t>
  </si>
  <si>
    <t>20251029-034434</t>
  </si>
  <si>
    <t>20251029-035859</t>
  </si>
  <si>
    <t>20251028-202130</t>
  </si>
  <si>
    <t>20251028-204251</t>
  </si>
  <si>
    <t>20251028-201946</t>
  </si>
  <si>
    <t>20251029-001818</t>
  </si>
  <si>
    <t>20251028-230205</t>
  </si>
  <si>
    <t>20251028-212851</t>
  </si>
  <si>
    <t>20251028-224242</t>
  </si>
  <si>
    <t>20251028-215453</t>
  </si>
  <si>
    <t>20251028-205505</t>
  </si>
  <si>
    <t>20251028-212125</t>
  </si>
  <si>
    <t>source</t>
    <phoneticPr fontId="1" type="noConversion"/>
  </si>
  <si>
    <t>open</t>
    <phoneticPr fontId="1" type="noConversion"/>
  </si>
  <si>
    <t>close</t>
    <phoneticPr fontId="1" type="noConversion"/>
  </si>
  <si>
    <t>20251029-1-java-opensources</t>
  </si>
  <si>
    <t>20251029-141855</t>
  </si>
  <si>
    <t>20251029-172111</t>
  </si>
  <si>
    <t>20251029-222906</t>
  </si>
  <si>
    <t>20251030-034426</t>
  </si>
  <si>
    <t>20251029-175440</t>
  </si>
  <si>
    <t>20251029-194639</t>
  </si>
  <si>
    <t>20251030-043918</t>
  </si>
  <si>
    <t>20251030-071615</t>
  </si>
  <si>
    <t>20251029-125403</t>
  </si>
  <si>
    <t>20251029-132951</t>
  </si>
  <si>
    <t>20251029-204820</t>
  </si>
  <si>
    <t>20251029-211634</t>
  </si>
  <si>
    <t>20251029-184641</t>
  </si>
  <si>
    <t>20251029-191234</t>
  </si>
  <si>
    <t>20251030-104414</t>
  </si>
  <si>
    <t>20251030-105514</t>
  </si>
  <si>
    <t>20251029-154027</t>
  </si>
  <si>
    <t>20251029-171738</t>
  </si>
  <si>
    <t>20251029-234940</t>
  </si>
  <si>
    <t>20251030-051120</t>
  </si>
  <si>
    <t>20251029-192418</t>
  </si>
  <si>
    <t>20251029-195320</t>
  </si>
  <si>
    <t>20251030-111338</t>
  </si>
  <si>
    <t>20251030-113309</t>
  </si>
  <si>
    <t>20251029-125440</t>
  </si>
  <si>
    <t>20251029-132743</t>
  </si>
  <si>
    <t>20251029-201841</t>
  </si>
  <si>
    <t>20251029-210018</t>
  </si>
  <si>
    <t>20251029-140305</t>
  </si>
  <si>
    <t>20251029-145633</t>
  </si>
  <si>
    <t>20251029-221104</t>
  </si>
  <si>
    <t>20251029-224821</t>
  </si>
  <si>
    <t>java-closesources</t>
  </si>
  <si>
    <t>20251031-024913</t>
  </si>
  <si>
    <t>20251031-035211</t>
  </si>
  <si>
    <t>20251031-043822</t>
  </si>
  <si>
    <t>20251031-051204</t>
  </si>
  <si>
    <t>20251031-055324</t>
  </si>
  <si>
    <t>20251031-170431</t>
  </si>
  <si>
    <t>20251031-171429</t>
  </si>
  <si>
    <t>20251031-172358</t>
  </si>
  <si>
    <t>20251031-173137</t>
  </si>
  <si>
    <t>20251031-173921</t>
  </si>
  <si>
    <t>20251031-024108</t>
  </si>
  <si>
    <t>20251031-052318</t>
  </si>
  <si>
    <t>20251031-075336</t>
  </si>
  <si>
    <t>20251031-090500</t>
  </si>
  <si>
    <t>20251031-104145</t>
  </si>
  <si>
    <t>Code</t>
    <phoneticPr fontId="1" type="noConversion"/>
  </si>
  <si>
    <t>SK</t>
    <phoneticPr fontId="1" type="noConversion"/>
  </si>
  <si>
    <t>CL</t>
    <phoneticPr fontId="1" type="noConversion"/>
  </si>
  <si>
    <t>PV</t>
    <phoneticPr fontId="1" type="noConversion"/>
  </si>
  <si>
    <t>Java</t>
    <phoneticPr fontId="1" type="noConversion"/>
  </si>
  <si>
    <t>Python</t>
    <phoneticPr fontId="1" type="noConversion"/>
  </si>
  <si>
    <t>CodeLlama-70B</t>
  </si>
  <si>
    <t>Cascade</t>
    <phoneticPr fontId="1" type="noConversion"/>
  </si>
  <si>
    <t>Direct</t>
    <phoneticPr fontId="1" type="noConversion"/>
  </si>
  <si>
    <t>JavaScript</t>
    <phoneticPr fontId="1" type="noConversion"/>
  </si>
  <si>
    <t>Ave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</si>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</sst>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NumberFormat="1"/>
    <xf numFmtId="0" fontId="0" fillId="2" borderId="0" xfId="0" applyFill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5961.904359490742" createdVersion="6" refreshedVersion="6" minRefreshableVersion="3" recordCount="61" xr:uid="{5CFB355D-37EA-444F-8D91-820018460696}">
  <cacheSource type="worksheet">
    <worksheetSource ref="A1:J62" sheet="Python"/>
  </cacheSource>
  <cacheFields count="10">
    <cacheField name="date" numFmtId="0">
      <sharedItems/>
    </cacheField>
    <cacheField name="model" numFmtId="0">
      <sharedItems count="17">
        <s v="codellama-13b"/>
        <s v="codellama-34b"/>
        <s v="deepseek-coder-33b"/>
        <s v="deepseek-coder-6.7b"/>
        <s v="gemma3-12b"/>
        <s v="gemma3-27b"/>
        <s v="gpt-oss-20b"/>
        <s v="llama3.1-8b"/>
        <s v="llama3.3-70b"/>
        <s v="phi4-14b"/>
        <s v="qwen2.5-coder-14b"/>
        <s v="qwen2.5-coder-32b"/>
        <s v="qwen3-14b"/>
        <s v="qwen3-30b"/>
        <s v="gemini-2.5-flash"/>
        <s v="gpt-3.5-turbo"/>
        <s v="gpt-5"/>
      </sharedItems>
    </cacheField>
    <cacheField name="mode" numFmtId="0">
      <sharedItems count="2">
        <s v="direct"/>
        <s v="cascade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3"/>
        <n v="1"/>
        <n v="2"/>
      </sharedItems>
    </cacheField>
    <cacheField name="checklist" numFmtId="0">
      <sharedItems containsMixedTypes="1" containsNumber="1" minValue="6.6500000000000004E-2" maxValue="0.6351"/>
    </cacheField>
    <cacheField name="skeleton" numFmtId="0">
      <sharedItems containsMixedTypes="1" containsNumber="1" minValue="0" maxValue="0.44090000000000001"/>
    </cacheField>
    <cacheField name="code" numFmtId="10">
      <sharedItems containsSemiMixedTypes="0" containsString="0" containsNumber="1" minValue="0" maxValue="0.5877"/>
    </cacheField>
    <cacheField name="parameter" numFmtId="10">
      <sharedItems containsSemiMixedTypes="0" containsString="0" containsNumber="1" minValue="0" maxValue="0.65090000000000003"/>
    </cacheField>
    <cacheField name="source" numFmtId="0">
      <sharedItems count="2">
        <s v="open"/>
        <s v="cl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5962.18948912037" createdVersion="8" refreshedVersion="8" minRefreshableVersion="3" recordCount="61" xr:uid="{4F9C31FD-B735-4733-8342-96B479A5A559}">
  <cacheSource type="worksheet">
    <worksheetSource ref="A1:J62" sheet="JavaScript"/>
  </cacheSource>
  <cacheFields count="10">
    <cacheField name="date" numFmtId="0">
      <sharedItems/>
    </cacheField>
    <cacheField name="model" numFmtId="0">
      <sharedItems count="17">
        <s v="gemma3-12b"/>
        <s v="gemma3-27b"/>
        <s v="gpt-oss-20b"/>
        <s v="llama3.1-8b"/>
        <s v="llama3.3-70b"/>
        <s v="phi4-14b"/>
        <s v="qwen3-14b"/>
        <s v="qwen3-30b"/>
        <s v="codellama-13b"/>
        <s v="codellama-34b"/>
        <s v="deepseek-coder-33b"/>
        <s v="deepseek-coder-6.7b"/>
        <s v="qwen2.5-coder-14b"/>
        <s v="qwen2.5-coder-32b"/>
        <s v="gemini-2.5-flash"/>
        <s v="gpt-3.5-turbo"/>
        <s v="gpt-5"/>
      </sharedItems>
    </cacheField>
    <cacheField name="mode" numFmtId="0">
      <sharedItems count="2">
        <s v="cascade"/>
        <s v="direct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1"/>
        <n v="2"/>
        <n v="3"/>
      </sharedItems>
    </cacheField>
    <cacheField name="checklist" numFmtId="0">
      <sharedItems containsMixedTypes="1" containsNumber="1" minValue="4.1300000000000003E-2" maxValue="0.65249999999999997"/>
    </cacheField>
    <cacheField name="skeleton" numFmtId="0">
      <sharedItems containsMixedTypes="1" containsNumber="1" minValue="3.4599999999999999E-2" maxValue="0.34539999999999998"/>
    </cacheField>
    <cacheField name="code" numFmtId="10">
      <sharedItems containsSemiMixedTypes="0" containsString="0" containsNumber="1" minValue="4.7899999999999998E-2" maxValue="0.55769999999999897"/>
    </cacheField>
    <cacheField name="parameter" numFmtId="10">
      <sharedItems containsSemiMixedTypes="0" containsString="0" containsNumber="1" minValue="0" maxValue="0.58750000000000002"/>
    </cacheField>
    <cacheField name="source" numFmtId="0">
      <sharedItems count="2">
        <s v="open"/>
        <s v="cl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5962.190979861109" createdVersion="8" refreshedVersion="8" minRefreshableVersion="3" recordCount="61" xr:uid="{472BAA84-0990-492A-8A46-8347BF6C9ACE}">
  <cacheSource type="worksheet">
    <worksheetSource ref="A1:J62" sheet="Java"/>
  </cacheSource>
  <cacheFields count="10">
    <cacheField name="date" numFmtId="0">
      <sharedItems/>
    </cacheField>
    <cacheField name="model" numFmtId="0">
      <sharedItems count="17">
        <s v="codellama-13b"/>
        <s v="codellama-34b"/>
        <s v="deepseek-coder-33b"/>
        <s v="deepseek-coder-6.7b"/>
        <s v="gemma3-12b"/>
        <s v="gemma3-27b"/>
        <s v="gpt-oss-20b"/>
        <s v="llama3.1-8b"/>
        <s v="llama3.3-70b"/>
        <s v="phi4-14b"/>
        <s v="qwen2.5-coder-14b"/>
        <s v="qwen2.5-coder-32b"/>
        <s v="qwen3-14b"/>
        <s v="qwen3-30b"/>
        <s v="gemini-2.5-flash"/>
        <s v="gpt-3.5-turbo"/>
        <s v="gpt-5"/>
      </sharedItems>
    </cacheField>
    <cacheField name="mode" numFmtId="0">
      <sharedItems count="2">
        <s v="direct"/>
        <s v="cascade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3"/>
        <n v="1"/>
        <n v="2"/>
      </sharedItems>
    </cacheField>
    <cacheField name="checklist" numFmtId="0">
      <sharedItems containsMixedTypes="1" containsNumber="1" minValue="4.1300000000000003E-2" maxValue="0.65249999999999997"/>
    </cacheField>
    <cacheField name="skeleton" numFmtId="0">
      <sharedItems containsMixedTypes="1" containsNumber="1" minValue="5.3600000000000002E-2" maxValue="0.31009999999999899"/>
    </cacheField>
    <cacheField name="code" numFmtId="10">
      <sharedItems containsSemiMixedTypes="0" containsString="0" containsNumber="1" minValue="8.2000000000000007E-3" maxValue="0.60209999999999897"/>
    </cacheField>
    <cacheField name="parameter" numFmtId="10">
      <sharedItems containsSemiMixedTypes="0" containsString="0" containsNumber="1" minValue="0" maxValue="0.59119999999999995"/>
    </cacheField>
    <cacheField name="source" numFmtId="0">
      <sharedItems count="2">
        <s v="open"/>
        <s v="cl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20251024-1-python"/>
    <x v="0"/>
    <x v="0"/>
    <s v="20251027-124148"/>
    <x v="0"/>
    <s v="None"/>
    <s v="None"/>
    <n v="2.7799999999999998E-2"/>
    <n v="3.9199999999999999E-2"/>
    <x v="0"/>
  </r>
  <r>
    <s v="20251024-1-python"/>
    <x v="1"/>
    <x v="0"/>
    <s v="20251027-120902"/>
    <x v="0"/>
    <s v="None"/>
    <s v="None"/>
    <n v="2.5899999999999999E-2"/>
    <n v="0"/>
    <x v="0"/>
  </r>
  <r>
    <s v="20251024-1-python"/>
    <x v="2"/>
    <x v="0"/>
    <s v="20251027-125123"/>
    <x v="0"/>
    <s v="None"/>
    <s v="None"/>
    <n v="0.27100000000000002"/>
    <n v="4.36E-2"/>
    <x v="0"/>
  </r>
  <r>
    <s v="20251024-1-python"/>
    <x v="3"/>
    <x v="0"/>
    <s v="20251027-131027"/>
    <x v="0"/>
    <s v="None"/>
    <s v="None"/>
    <n v="0.1381"/>
    <n v="3.8999999999999898E-3"/>
    <x v="0"/>
  </r>
  <r>
    <s v="20251024-1-python"/>
    <x v="4"/>
    <x v="1"/>
    <s v="20251024-131206"/>
    <x v="1"/>
    <n v="0.61860000000000004"/>
    <n v="0.18579999999999999"/>
    <n v="0.20860000000000001"/>
    <n v="0.32619999999999999"/>
    <x v="0"/>
  </r>
  <r>
    <s v="20251024-1-python"/>
    <x v="4"/>
    <x v="1"/>
    <s v="20251024-152512"/>
    <x v="2"/>
    <s v="None"/>
    <n v="0.19020000000000001"/>
    <n v="0.1179"/>
    <n v="0.19059999999999999"/>
    <x v="0"/>
  </r>
  <r>
    <s v="20251024-1-python"/>
    <x v="4"/>
    <x v="0"/>
    <s v="20251025-035647"/>
    <x v="1"/>
    <s v="None"/>
    <s v="None"/>
    <n v="0.14680000000000001"/>
    <n v="0.16739999999999999"/>
    <x v="0"/>
  </r>
  <r>
    <s v="20251024-1-python"/>
    <x v="4"/>
    <x v="0"/>
    <s v="20251026-000440"/>
    <x v="2"/>
    <s v="None"/>
    <s v="None"/>
    <n v="0.2087"/>
    <n v="0.42209999999999998"/>
    <x v="0"/>
  </r>
  <r>
    <s v="20251024-1-python"/>
    <x v="4"/>
    <x v="0"/>
    <s v="20251026-124526"/>
    <x v="0"/>
    <s v="None"/>
    <s v="None"/>
    <n v="0.36059999999999898"/>
    <n v="0.33929999999999999"/>
    <x v="0"/>
  </r>
  <r>
    <s v="20251024-1-python"/>
    <x v="5"/>
    <x v="1"/>
    <s v="20251024-164054"/>
    <x v="1"/>
    <n v="0.58960000000000001"/>
    <n v="0.1905"/>
    <n v="0.14499999999999899"/>
    <n v="0.14879999999999899"/>
    <x v="0"/>
  </r>
  <r>
    <s v="20251024-1-python"/>
    <x v="5"/>
    <x v="1"/>
    <s v="20251024-191431"/>
    <x v="2"/>
    <s v="None"/>
    <n v="0.1943"/>
    <n v="0.16370000000000001"/>
    <n v="0.24210000000000001"/>
    <x v="0"/>
  </r>
  <r>
    <s v="20251024-1-python"/>
    <x v="5"/>
    <x v="0"/>
    <s v="20251026-153202"/>
    <x v="1"/>
    <s v="None"/>
    <s v="None"/>
    <n v="0.316"/>
    <n v="0.42570000000000002"/>
    <x v="0"/>
  </r>
  <r>
    <s v="20251024-1-python"/>
    <x v="5"/>
    <x v="0"/>
    <s v="20251026-160357"/>
    <x v="2"/>
    <s v="None"/>
    <s v="None"/>
    <n v="0.33979999999999999"/>
    <n v="0.43990000000000001"/>
    <x v="0"/>
  </r>
  <r>
    <s v="20251024-1-python"/>
    <x v="5"/>
    <x v="0"/>
    <s v="20251026-163553"/>
    <x v="0"/>
    <s v="None"/>
    <s v="None"/>
    <n v="0.47470000000000001"/>
    <n v="0.48110000000000003"/>
    <x v="0"/>
  </r>
  <r>
    <s v="20251024-1-python"/>
    <x v="6"/>
    <x v="1"/>
    <s v="20251027-144655"/>
    <x v="1"/>
    <n v="0.53269999999999895"/>
    <n v="0.13250000000000001"/>
    <n v="0.23480000000000001"/>
    <n v="0.23039999999999999"/>
    <x v="0"/>
  </r>
  <r>
    <s v="20251024-1-python"/>
    <x v="6"/>
    <x v="1"/>
    <s v="20251027-231354"/>
    <x v="2"/>
    <s v="None"/>
    <n v="0.12670000000000001"/>
    <n v="0.30669999999999897"/>
    <n v="0.29370000000000002"/>
    <x v="0"/>
  </r>
  <r>
    <s v="20251024-1-python"/>
    <x v="6"/>
    <x v="0"/>
    <s v="20251028-103017"/>
    <x v="1"/>
    <s v="None"/>
    <s v="None"/>
    <n v="0.25380000000000003"/>
    <n v="0.30549999999999999"/>
    <x v="0"/>
  </r>
  <r>
    <s v="20251024-1-python"/>
    <x v="6"/>
    <x v="0"/>
    <s v="20251028-111620"/>
    <x v="2"/>
    <s v="None"/>
    <s v="None"/>
    <n v="0.30620000000000003"/>
    <n v="0.37230000000000002"/>
    <x v="0"/>
  </r>
  <r>
    <s v="20251024-1-python"/>
    <x v="6"/>
    <x v="0"/>
    <s v="20251028-115311"/>
    <x v="0"/>
    <s v="None"/>
    <s v="None"/>
    <n v="0.4738"/>
    <n v="0.38080000000000003"/>
    <x v="0"/>
  </r>
  <r>
    <s v="20251024-1-python"/>
    <x v="7"/>
    <x v="1"/>
    <s v="20251025-021937"/>
    <x v="1"/>
    <n v="6.6500000000000004E-2"/>
    <n v="3.6499999999999998E-2"/>
    <n v="5.2299999999999902E-2"/>
    <n v="4.8300000000000003E-2"/>
    <x v="0"/>
  </r>
  <r>
    <s v="20251024-1-python"/>
    <x v="7"/>
    <x v="1"/>
    <s v="20251025-023857"/>
    <x v="2"/>
    <s v="None"/>
    <n v="4.8800000000000003E-2"/>
    <n v="7.22E-2"/>
    <n v="7.3700000000000002E-2"/>
    <x v="0"/>
  </r>
  <r>
    <s v="20251024-1-python"/>
    <x v="7"/>
    <x v="0"/>
    <s v="20251027-115021"/>
    <x v="1"/>
    <s v="None"/>
    <s v="None"/>
    <n v="1.9699999999999999E-2"/>
    <n v="0"/>
    <x v="0"/>
  </r>
  <r>
    <s v="20251024-1-python"/>
    <x v="7"/>
    <x v="0"/>
    <s v="20251027-115407"/>
    <x v="2"/>
    <s v="None"/>
    <s v="None"/>
    <n v="2.1100000000000001E-2"/>
    <n v="7.22E-2"/>
    <x v="0"/>
  </r>
  <r>
    <s v="20251024-1-python"/>
    <x v="7"/>
    <x v="0"/>
    <s v="20251027-115903"/>
    <x v="0"/>
    <s v="None"/>
    <s v="None"/>
    <n v="6.0299999999999999E-2"/>
    <n v="0"/>
    <x v="0"/>
  </r>
  <r>
    <s v="20251024-1-python"/>
    <x v="8"/>
    <x v="1"/>
    <s v="20251024-221451"/>
    <x v="1"/>
    <n v="0.49559999999999899"/>
    <n v="0.1648"/>
    <n v="0.2228"/>
    <n v="0.34810000000000002"/>
    <x v="0"/>
  </r>
  <r>
    <s v="20251024-1-python"/>
    <x v="8"/>
    <x v="1"/>
    <s v="20251024-234322"/>
    <x v="2"/>
    <s v="None"/>
    <n v="0.17519999999999999"/>
    <n v="0.2767"/>
    <n v="0.42049999999999998"/>
    <x v="0"/>
  </r>
  <r>
    <s v="20251024-1-python"/>
    <x v="8"/>
    <x v="0"/>
    <s v="20251026-185922"/>
    <x v="1"/>
    <s v="None"/>
    <s v="None"/>
    <n v="0.34320000000000001"/>
    <n v="0.50990000000000002"/>
    <x v="0"/>
  </r>
  <r>
    <s v="20251024-1-python"/>
    <x v="8"/>
    <x v="0"/>
    <s v="20251026-201451"/>
    <x v="2"/>
    <s v="None"/>
    <s v="None"/>
    <n v="0.2928"/>
    <n v="0.46079999999999999"/>
    <x v="0"/>
  </r>
  <r>
    <s v="20251024-1-python"/>
    <x v="8"/>
    <x v="0"/>
    <s v="20251027-023405"/>
    <x v="0"/>
    <s v="None"/>
    <s v="None"/>
    <n v="0.36830000000000002"/>
    <n v="0.40100000000000002"/>
    <x v="0"/>
  </r>
  <r>
    <s v="20251024-1-python"/>
    <x v="9"/>
    <x v="1"/>
    <s v="20251024-203820"/>
    <x v="1"/>
    <n v="0.57820000000000005"/>
    <n v="0"/>
    <n v="0"/>
    <n v="0"/>
    <x v="0"/>
  </r>
  <r>
    <s v="20251024-1-python"/>
    <x v="9"/>
    <x v="1"/>
    <s v="20251024-205026"/>
    <x v="2"/>
    <s v="None"/>
    <n v="2.9100000000000001E-2"/>
    <n v="2.81E-2"/>
    <n v="7.0999999999999994E-2"/>
    <x v="0"/>
  </r>
  <r>
    <s v="20251024-1-python"/>
    <x v="9"/>
    <x v="0"/>
    <s v="20251026-171609"/>
    <x v="1"/>
    <s v="None"/>
    <s v="None"/>
    <n v="0.39340000000000003"/>
    <n v="0.43340000000000001"/>
    <x v="0"/>
  </r>
  <r>
    <s v="20251024-1-python"/>
    <x v="9"/>
    <x v="0"/>
    <s v="20251026-173028"/>
    <x v="2"/>
    <s v="None"/>
    <s v="None"/>
    <n v="0.3619"/>
    <n v="0.45639999999999997"/>
    <x v="0"/>
  </r>
  <r>
    <s v="20251024-1-python"/>
    <x v="9"/>
    <x v="0"/>
    <s v="20251026-174741"/>
    <x v="0"/>
    <s v="None"/>
    <s v="None"/>
    <n v="0.51080000000000003"/>
    <n v="0.46929999999999999"/>
    <x v="0"/>
  </r>
  <r>
    <s v="20251024-1-python"/>
    <x v="10"/>
    <x v="0"/>
    <s v="20251026-184354"/>
    <x v="0"/>
    <s v="None"/>
    <s v="None"/>
    <n v="2.1000000000000001E-2"/>
    <n v="3.7600000000000001E-2"/>
    <x v="0"/>
  </r>
  <r>
    <s v="20251024-1-python"/>
    <x v="11"/>
    <x v="0"/>
    <s v="20251026-180746"/>
    <x v="0"/>
    <s v="None"/>
    <s v="None"/>
    <n v="0.42059999999999897"/>
    <n v="0.30590000000000001"/>
    <x v="0"/>
  </r>
  <r>
    <s v="20251024-1-python"/>
    <x v="12"/>
    <x v="1"/>
    <s v="20251028-033643"/>
    <x v="1"/>
    <n v="0.3866"/>
    <n v="0.10390000000000001"/>
    <n v="0.1789"/>
    <n v="0.16539999999999999"/>
    <x v="0"/>
  </r>
  <r>
    <s v="20251024-1-python"/>
    <x v="12"/>
    <x v="1"/>
    <s v="20251028-043312"/>
    <x v="2"/>
    <s v="None"/>
    <n v="0.1704"/>
    <n v="0.20100000000000001"/>
    <n v="0.28189999999999898"/>
    <x v="0"/>
  </r>
  <r>
    <s v="20251024-1-python"/>
    <x v="12"/>
    <x v="0"/>
    <s v="20251028-151558"/>
    <x v="1"/>
    <s v="None"/>
    <s v="None"/>
    <n v="0.1971"/>
    <n v="0.26019999999999999"/>
    <x v="0"/>
  </r>
  <r>
    <s v="20251024-1-python"/>
    <x v="12"/>
    <x v="0"/>
    <s v="20251028-153838"/>
    <x v="2"/>
    <s v="None"/>
    <s v="None"/>
    <n v="0.26190000000000002"/>
    <n v="0.39379999999999898"/>
    <x v="0"/>
  </r>
  <r>
    <s v="20251024-1-python"/>
    <x v="12"/>
    <x v="0"/>
    <s v="20251028-160505"/>
    <x v="0"/>
    <s v="None"/>
    <s v="None"/>
    <n v="0.4541"/>
    <n v="0.37280000000000002"/>
    <x v="0"/>
  </r>
  <r>
    <s v="20251024-1-python"/>
    <x v="13"/>
    <x v="1"/>
    <s v="20251028-054300"/>
    <x v="1"/>
    <n v="0.37790000000000001"/>
    <n v="0.14940000000000001"/>
    <n v="0.17630000000000001"/>
    <n v="0.13150000000000001"/>
    <x v="0"/>
  </r>
  <r>
    <s v="20251024-1-python"/>
    <x v="13"/>
    <x v="1"/>
    <s v="20251028-062711"/>
    <x v="2"/>
    <s v="None"/>
    <n v="0.16520000000000001"/>
    <n v="0.27100000000000002"/>
    <n v="0.186"/>
    <x v="0"/>
  </r>
  <r>
    <s v="20251024-1-python"/>
    <x v="13"/>
    <x v="0"/>
    <s v="20251028-163205"/>
    <x v="1"/>
    <s v="None"/>
    <s v="None"/>
    <n v="0.1971"/>
    <n v="0.1653"/>
    <x v="0"/>
  </r>
  <r>
    <s v="20251024-1-python"/>
    <x v="13"/>
    <x v="0"/>
    <s v="20251028-172008"/>
    <x v="2"/>
    <s v="None"/>
    <s v="None"/>
    <n v="0.1827"/>
    <n v="0.1545"/>
    <x v="0"/>
  </r>
  <r>
    <s v="20251024-1-python"/>
    <x v="13"/>
    <x v="0"/>
    <s v="20251028-181114"/>
    <x v="0"/>
    <s v="None"/>
    <s v="None"/>
    <n v="0.51859999999999895"/>
    <n v="0.26500000000000001"/>
    <x v="0"/>
  </r>
  <r>
    <s v="pyclosesources"/>
    <x v="14"/>
    <x v="1"/>
    <s v="20251030-074046"/>
    <x v="1"/>
    <n v="0.62"/>
    <n v="0.35589999999999899"/>
    <n v="0.37809999999999999"/>
    <n v="0.32329999999999998"/>
    <x v="1"/>
  </r>
  <r>
    <s v="pyclosesources"/>
    <x v="14"/>
    <x v="1"/>
    <s v="20251030-091527"/>
    <x v="2"/>
    <s v="None"/>
    <n v="0.35920000000000002"/>
    <n v="0.3947"/>
    <n v="0.30859999999999999"/>
    <x v="1"/>
  </r>
  <r>
    <s v="pyclosesources"/>
    <x v="14"/>
    <x v="0"/>
    <s v="20251030-102457"/>
    <x v="1"/>
    <s v="None"/>
    <s v="None"/>
    <n v="0.44259999999999999"/>
    <n v="0.29809999999999998"/>
    <x v="1"/>
  </r>
  <r>
    <s v="pyclosesources"/>
    <x v="14"/>
    <x v="0"/>
    <s v="20251030-110655"/>
    <x v="2"/>
    <s v="None"/>
    <s v="None"/>
    <n v="0.433"/>
    <n v="0.36570000000000003"/>
    <x v="1"/>
  </r>
  <r>
    <s v="pyclosesources"/>
    <x v="14"/>
    <x v="0"/>
    <s v="20251030-115800"/>
    <x v="0"/>
    <s v="None"/>
    <s v="None"/>
    <n v="0.57230000000000003"/>
    <n v="0.50560000000000005"/>
    <x v="1"/>
  </r>
  <r>
    <s v="pyclosesources"/>
    <x v="15"/>
    <x v="1"/>
    <s v="20251029-185302"/>
    <x v="1"/>
    <n v="0.44650000000000001"/>
    <n v="0.10929999999999999"/>
    <n v="0.1197"/>
    <n v="0.45739999999999897"/>
    <x v="1"/>
  </r>
  <r>
    <s v="pyclosesources"/>
    <x v="15"/>
    <x v="1"/>
    <s v="20251029-185942"/>
    <x v="2"/>
    <s v="None"/>
    <n v="0.13350000000000001"/>
    <n v="0.13120000000000001"/>
    <n v="0.47410000000000002"/>
    <x v="1"/>
  </r>
  <r>
    <s v="pyclosesources"/>
    <x v="15"/>
    <x v="0"/>
    <s v="20251029-190602"/>
    <x v="1"/>
    <s v="None"/>
    <s v="None"/>
    <n v="0.11840000000000001"/>
    <n v="0.43120000000000003"/>
    <x v="1"/>
  </r>
  <r>
    <s v="pyclosesources"/>
    <x v="15"/>
    <x v="0"/>
    <s v="20251029-191051"/>
    <x v="2"/>
    <s v="None"/>
    <s v="None"/>
    <n v="0.16239999999999999"/>
    <n v="0.48549999999999999"/>
    <x v="1"/>
  </r>
  <r>
    <s v="pyclosesources"/>
    <x v="15"/>
    <x v="0"/>
    <s v="20251029-191658"/>
    <x v="0"/>
    <s v="None"/>
    <s v="None"/>
    <n v="0.40660000000000002"/>
    <n v="0.44009999999999999"/>
    <x v="1"/>
  </r>
  <r>
    <s v="pyclosesources"/>
    <x v="16"/>
    <x v="1"/>
    <s v="20251030-040002"/>
    <x v="1"/>
    <n v="0.6351"/>
    <n v="0.41699999999999898"/>
    <n v="0.42259999999999998"/>
    <n v="0.36699999999999999"/>
    <x v="1"/>
  </r>
  <r>
    <s v="pyclosesources"/>
    <x v="16"/>
    <x v="1"/>
    <s v="20251030-081054"/>
    <x v="2"/>
    <s v="None"/>
    <n v="0.44090000000000001"/>
    <n v="0.45329999999999998"/>
    <n v="0.54159999999999997"/>
    <x v="1"/>
  </r>
  <r>
    <s v="pyclosesources"/>
    <x v="16"/>
    <x v="0"/>
    <s v="20251030-112043"/>
    <x v="1"/>
    <s v="None"/>
    <s v="None"/>
    <n v="0.434"/>
    <n v="0.4239"/>
    <x v="1"/>
  </r>
  <r>
    <s v="pyclosesources"/>
    <x v="16"/>
    <x v="0"/>
    <s v="20251030-143432"/>
    <x v="2"/>
    <s v="None"/>
    <s v="None"/>
    <n v="0.45829999999999999"/>
    <n v="0.49220000000000003"/>
    <x v="1"/>
  </r>
  <r>
    <s v="pyclosesources"/>
    <x v="16"/>
    <x v="0"/>
    <s v="20251030-183910"/>
    <x v="0"/>
    <s v="None"/>
    <s v="None"/>
    <n v="0.5877"/>
    <n v="0.6509000000000000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20251020-1"/>
    <x v="0"/>
    <x v="0"/>
    <s v="20251020-214045"/>
    <x v="0"/>
    <n v="0.62150000000000005"/>
    <n v="0.2014"/>
    <n v="0.1973"/>
    <n v="0.47539999999999999"/>
    <x v="0"/>
  </r>
  <r>
    <s v="20251020-1"/>
    <x v="0"/>
    <x v="0"/>
    <s v="20251020-222603"/>
    <x v="1"/>
    <s v="None"/>
    <n v="0.2263"/>
    <n v="0.18540000000000001"/>
    <n v="0.3836"/>
    <x v="0"/>
  </r>
  <r>
    <s v="20251020-1"/>
    <x v="0"/>
    <x v="1"/>
    <s v="20251021-170829"/>
    <x v="0"/>
    <s v="None"/>
    <s v="None"/>
    <n v="0.1678"/>
    <n v="0.38109999999999999"/>
    <x v="0"/>
  </r>
  <r>
    <s v="20251020-1"/>
    <x v="0"/>
    <x v="1"/>
    <s v="20251021-171901"/>
    <x v="1"/>
    <s v="None"/>
    <s v="None"/>
    <n v="9.7500000000000003E-2"/>
    <n v="0.1938"/>
    <x v="0"/>
  </r>
  <r>
    <s v="20251020-1"/>
    <x v="1"/>
    <x v="0"/>
    <s v="20251020-234444"/>
    <x v="0"/>
    <n v="0.65249999999999997"/>
    <n v="0.2029"/>
    <n v="0.23519999999999999"/>
    <n v="0.54979999999999996"/>
    <x v="0"/>
  </r>
  <r>
    <s v="20251020-1"/>
    <x v="1"/>
    <x v="0"/>
    <s v="20251021-020650"/>
    <x v="1"/>
    <s v="None"/>
    <n v="0.21729999999999999"/>
    <n v="0.2442"/>
    <n v="0.50490000000000002"/>
    <x v="0"/>
  </r>
  <r>
    <s v="20251020-1"/>
    <x v="1"/>
    <x v="1"/>
    <s v="20251021-175635"/>
    <x v="0"/>
    <s v="None"/>
    <s v="None"/>
    <n v="0.2228"/>
    <n v="0.50419999999999998"/>
    <x v="0"/>
  </r>
  <r>
    <s v="20251020-1"/>
    <x v="1"/>
    <x v="1"/>
    <s v="20251021-190720"/>
    <x v="1"/>
    <s v="None"/>
    <s v="None"/>
    <n v="0.24990000000000001"/>
    <n v="0.46689999999999998"/>
    <x v="0"/>
  </r>
  <r>
    <s v="20251020-1"/>
    <x v="2"/>
    <x v="0"/>
    <s v="20251020-165124"/>
    <x v="0"/>
    <n v="0.57310000000000005"/>
    <n v="0.157"/>
    <n v="0.22520000000000001"/>
    <n v="0.49469999999999997"/>
    <x v="0"/>
  </r>
  <r>
    <s v="20251020-1"/>
    <x v="2"/>
    <x v="0"/>
    <s v="20251020-174636"/>
    <x v="1"/>
    <s v="None"/>
    <n v="0.19919999999999899"/>
    <n v="0.18709999999999899"/>
    <n v="0.2636"/>
    <x v="0"/>
  </r>
  <r>
    <s v="20251020-1"/>
    <x v="2"/>
    <x v="1"/>
    <s v="20251021-152301"/>
    <x v="0"/>
    <s v="None"/>
    <s v="None"/>
    <n v="0.1749"/>
    <n v="0.2462"/>
    <x v="0"/>
  </r>
  <r>
    <s v="20251020-1"/>
    <x v="2"/>
    <x v="1"/>
    <s v="20251021-154018"/>
    <x v="1"/>
    <s v="None"/>
    <s v="None"/>
    <n v="0.2697"/>
    <n v="0.30580000000000002"/>
    <x v="0"/>
  </r>
  <r>
    <s v="20251020-1"/>
    <x v="3"/>
    <x v="0"/>
    <s v="20251020-202744"/>
    <x v="0"/>
    <n v="4.1300000000000003E-2"/>
    <n v="4.0399999999999998E-2"/>
    <n v="9.2899999999999996E-2"/>
    <n v="0"/>
    <x v="0"/>
  </r>
  <r>
    <s v="20251020-1"/>
    <x v="3"/>
    <x v="0"/>
    <s v="20251020-210501"/>
    <x v="1"/>
    <s v="None"/>
    <n v="3.4599999999999999E-2"/>
    <n v="9.5299999999999996E-2"/>
    <n v="3.7999999999999999E-2"/>
    <x v="0"/>
  </r>
  <r>
    <s v="20251020-1"/>
    <x v="3"/>
    <x v="1"/>
    <s v="20251021-015727"/>
    <x v="0"/>
    <s v="None"/>
    <s v="None"/>
    <n v="4.7899999999999998E-2"/>
    <n v="0"/>
    <x v="0"/>
  </r>
  <r>
    <s v="20251020-1"/>
    <x v="3"/>
    <x v="1"/>
    <s v="20251021-020411"/>
    <x v="1"/>
    <s v="None"/>
    <s v="None"/>
    <n v="0.16170000000000001"/>
    <n v="1.11E-2"/>
    <x v="0"/>
  </r>
  <r>
    <s v="20251020-1"/>
    <x v="4"/>
    <x v="0"/>
    <s v="20251020-165147"/>
    <x v="0"/>
    <n v="0.4919"/>
    <n v="0.1837"/>
    <n v="0.2525"/>
    <n v="0.48249999999999998"/>
    <x v="0"/>
  </r>
  <r>
    <s v="20251020-1"/>
    <x v="4"/>
    <x v="0"/>
    <s v="20251020-181934"/>
    <x v="1"/>
    <s v="None"/>
    <n v="0.21010000000000001"/>
    <n v="0.2787"/>
    <n v="0.46700000000000003"/>
    <x v="0"/>
  </r>
  <r>
    <s v="20251020-1"/>
    <x v="4"/>
    <x v="1"/>
    <s v="20251020-221221"/>
    <x v="0"/>
    <s v="None"/>
    <s v="None"/>
    <n v="0.2054"/>
    <n v="0.35930000000000001"/>
    <x v="0"/>
  </r>
  <r>
    <s v="20251020-1"/>
    <x v="4"/>
    <x v="1"/>
    <s v="20251020-230128"/>
    <x v="1"/>
    <s v="None"/>
    <s v="None"/>
    <n v="0.24970000000000001"/>
    <n v="0.4965"/>
    <x v="0"/>
  </r>
  <r>
    <s v="20251020-1"/>
    <x v="5"/>
    <x v="0"/>
    <s v="20251021-131225"/>
    <x v="0"/>
    <n v="0.38059999999999999"/>
    <n v="0.1009"/>
    <n v="0.13930000000000001"/>
    <n v="0.1663"/>
    <x v="0"/>
  </r>
  <r>
    <s v="20251020-1"/>
    <x v="5"/>
    <x v="0"/>
    <s v="20251021-142018"/>
    <x v="1"/>
    <s v="None"/>
    <n v="0.1187"/>
    <n v="0.17599999999999899"/>
    <n v="0.37230000000000002"/>
    <x v="0"/>
  </r>
  <r>
    <s v="20251020-1"/>
    <x v="5"/>
    <x v="1"/>
    <s v="20251021-234154"/>
    <x v="0"/>
    <s v="None"/>
    <s v="None"/>
    <n v="0.22489999999999999"/>
    <n v="0.39350000000000002"/>
    <x v="0"/>
  </r>
  <r>
    <s v="20251020-1"/>
    <x v="5"/>
    <x v="1"/>
    <s v="20251021-235733"/>
    <x v="1"/>
    <s v="None"/>
    <s v="None"/>
    <n v="0.29039999999999999"/>
    <n v="0.43630000000000002"/>
    <x v="0"/>
  </r>
  <r>
    <s v="20251020-1"/>
    <x v="6"/>
    <x v="0"/>
    <s v="20251021-042928"/>
    <x v="0"/>
    <n v="0.57640000000000002"/>
    <n v="0.176699999999999"/>
    <n v="0.1971"/>
    <n v="0.34489999999999899"/>
    <x v="0"/>
  </r>
  <r>
    <s v="20251020-1"/>
    <x v="6"/>
    <x v="0"/>
    <s v="20251021-070105"/>
    <x v="1"/>
    <s v="None"/>
    <n v="0.19350000000000001"/>
    <n v="0.1477"/>
    <n v="0.22600000000000001"/>
    <x v="0"/>
  </r>
  <r>
    <s v="20251020-1"/>
    <x v="6"/>
    <x v="1"/>
    <s v="20251021-210247"/>
    <x v="0"/>
    <s v="None"/>
    <s v="None"/>
    <n v="0.11210000000000001"/>
    <n v="0.1676"/>
    <x v="0"/>
  </r>
  <r>
    <s v="20251020-1"/>
    <x v="6"/>
    <x v="1"/>
    <s v="20251021-211834"/>
    <x v="1"/>
    <s v="None"/>
    <s v="None"/>
    <n v="5.9799999999999902E-2"/>
    <n v="0.14630000000000001"/>
    <x v="0"/>
  </r>
  <r>
    <s v="20251020-1"/>
    <x v="7"/>
    <x v="0"/>
    <s v="20251021-093719"/>
    <x v="0"/>
    <n v="0.3589"/>
    <n v="0.1391"/>
    <n v="0.1391"/>
    <n v="0.33090000000000003"/>
    <x v="0"/>
  </r>
  <r>
    <s v="20251020-1"/>
    <x v="7"/>
    <x v="0"/>
    <s v="20251021-110129"/>
    <x v="1"/>
    <s v="None"/>
    <n v="0.1734"/>
    <n v="0.20599999999999899"/>
    <n v="0.31809999999999999"/>
    <x v="0"/>
  </r>
  <r>
    <s v="20251020-1"/>
    <x v="7"/>
    <x v="1"/>
    <s v="20251021-215732"/>
    <x v="0"/>
    <s v="None"/>
    <s v="None"/>
    <n v="8.48E-2"/>
    <n v="0.28249999999999897"/>
    <x v="0"/>
  </r>
  <r>
    <s v="20251020-1"/>
    <x v="7"/>
    <x v="1"/>
    <s v="20251021-222933"/>
    <x v="1"/>
    <s v="None"/>
    <s v="None"/>
    <n v="0.1283"/>
    <n v="0.20930000000000001"/>
    <x v="0"/>
  </r>
  <r>
    <s v="20251028-1-jsdirect3"/>
    <x v="8"/>
    <x v="1"/>
    <s v="20251029-033943"/>
    <x v="2"/>
    <s v="None"/>
    <s v="None"/>
    <n v="0.1106"/>
    <n v="0.1215"/>
    <x v="0"/>
  </r>
  <r>
    <s v="20251028-1-jsdirect3"/>
    <x v="9"/>
    <x v="1"/>
    <s v="20251029-003016"/>
    <x v="2"/>
    <s v="None"/>
    <s v="None"/>
    <n v="6.3200000000000006E-2"/>
    <n v="2.4899999999999901E-2"/>
    <x v="0"/>
  </r>
  <r>
    <s v="20251028-1-jsdirect3"/>
    <x v="10"/>
    <x v="1"/>
    <s v="20251029-034434"/>
    <x v="2"/>
    <s v="None"/>
    <s v="None"/>
    <n v="0.2233"/>
    <n v="8.6699999999999999E-2"/>
    <x v="0"/>
  </r>
  <r>
    <s v="20251028-1-jsdirect3"/>
    <x v="11"/>
    <x v="1"/>
    <s v="20251029-035859"/>
    <x v="2"/>
    <s v="None"/>
    <s v="None"/>
    <n v="0.2515"/>
    <n v="1.09E-2"/>
    <x v="0"/>
  </r>
  <r>
    <s v="20251028-1-jsdirect3"/>
    <x v="0"/>
    <x v="1"/>
    <s v="20251028-202130"/>
    <x v="2"/>
    <s v="None"/>
    <s v="None"/>
    <n v="0.36409999999999998"/>
    <n v="0.31769999999999998"/>
    <x v="0"/>
  </r>
  <r>
    <s v="20251028-1-jsdirect3"/>
    <x v="1"/>
    <x v="1"/>
    <s v="20251028-204251"/>
    <x v="2"/>
    <s v="None"/>
    <s v="None"/>
    <n v="0.51700000000000002"/>
    <n v="0.40720000000000001"/>
    <x v="0"/>
  </r>
  <r>
    <s v="20251028-1-jsdirect3"/>
    <x v="2"/>
    <x v="1"/>
    <s v="20251028-201946"/>
    <x v="2"/>
    <s v="None"/>
    <s v="None"/>
    <n v="0.40849999999999898"/>
    <n v="0.2301"/>
    <x v="0"/>
  </r>
  <r>
    <s v="20251028-1-jsdirect3"/>
    <x v="3"/>
    <x v="1"/>
    <s v="20251029-001818"/>
    <x v="2"/>
    <s v="None"/>
    <s v="None"/>
    <n v="7.7700000000000005E-2"/>
    <n v="0"/>
    <x v="0"/>
  </r>
  <r>
    <s v="20251028-1-jsdirect3"/>
    <x v="4"/>
    <x v="1"/>
    <s v="20251028-230205"/>
    <x v="2"/>
    <s v="None"/>
    <s v="None"/>
    <n v="0.4753"/>
    <n v="0.43919999999999898"/>
    <x v="0"/>
  </r>
  <r>
    <s v="20251028-1-jsdirect3"/>
    <x v="5"/>
    <x v="1"/>
    <s v="20251028-212851"/>
    <x v="2"/>
    <s v="None"/>
    <s v="None"/>
    <n v="0.55269999999999897"/>
    <n v="0.38579999999999998"/>
    <x v="0"/>
  </r>
  <r>
    <s v="20251028-1-jsdirect3"/>
    <x v="12"/>
    <x v="1"/>
    <s v="20251028-224242"/>
    <x v="2"/>
    <s v="None"/>
    <s v="None"/>
    <n v="0.35670000000000002"/>
    <n v="0.33239999999999897"/>
    <x v="0"/>
  </r>
  <r>
    <s v="20251028-1-jsdirect3"/>
    <x v="13"/>
    <x v="1"/>
    <s v="20251028-215453"/>
    <x v="2"/>
    <s v="None"/>
    <s v="None"/>
    <n v="0.43759999999999999"/>
    <n v="0.38440000000000002"/>
    <x v="0"/>
  </r>
  <r>
    <s v="20251028-1-jsdirect3"/>
    <x v="6"/>
    <x v="1"/>
    <s v="20251028-205505"/>
    <x v="2"/>
    <s v="None"/>
    <s v="None"/>
    <n v="0.2843"/>
    <n v="0.2243"/>
    <x v="0"/>
  </r>
  <r>
    <s v="20251028-1-jsdirect3"/>
    <x v="7"/>
    <x v="1"/>
    <s v="20251028-212125"/>
    <x v="2"/>
    <s v="None"/>
    <s v="None"/>
    <n v="0.43219999999999997"/>
    <n v="0.22919999999999899"/>
    <x v="0"/>
  </r>
  <r>
    <s v="js-closesources"/>
    <x v="14"/>
    <x v="0"/>
    <s v="20251030-025443"/>
    <x v="0"/>
    <n v="0.60470000000000002"/>
    <n v="0.22720000000000001"/>
    <n v="0.25590000000000002"/>
    <n v="0.32979999999999998"/>
    <x v="1"/>
  </r>
  <r>
    <s v="js-closesources"/>
    <x v="14"/>
    <x v="0"/>
    <s v="20251030-035616"/>
    <x v="1"/>
    <s v="None"/>
    <n v="0.34539999999999998"/>
    <n v="0.27879999999999999"/>
    <n v="0.4143"/>
    <x v="1"/>
  </r>
  <r>
    <s v="js-closesources"/>
    <x v="14"/>
    <x v="1"/>
    <s v="20251030-044830"/>
    <x v="0"/>
    <s v="None"/>
    <s v="None"/>
    <n v="0.2205"/>
    <n v="0.28299999999999897"/>
    <x v="1"/>
  </r>
  <r>
    <s v="js-closesources"/>
    <x v="14"/>
    <x v="1"/>
    <s v="20251030-052716"/>
    <x v="1"/>
    <s v="None"/>
    <s v="None"/>
    <n v="0.33439999999999998"/>
    <n v="0.38969999999999999"/>
    <x v="1"/>
  </r>
  <r>
    <s v="js-closesources"/>
    <x v="14"/>
    <x v="1"/>
    <s v="20251030-060822"/>
    <x v="2"/>
    <s v="None"/>
    <s v="None"/>
    <n v="0.54479999999999995"/>
    <n v="0.5706"/>
    <x v="1"/>
  </r>
  <r>
    <s v="js-closesources"/>
    <x v="15"/>
    <x v="0"/>
    <s v="20251029-103141"/>
    <x v="0"/>
    <n v="0.48399999999999999"/>
    <n v="0.1041"/>
    <n v="0.1305"/>
    <n v="0.50319999999999998"/>
    <x v="1"/>
  </r>
  <r>
    <s v="js-closesources"/>
    <x v="15"/>
    <x v="0"/>
    <s v="20251029-103801"/>
    <x v="1"/>
    <s v="None"/>
    <n v="0.10730000000000001"/>
    <n v="0.129"/>
    <n v="0.51880000000000004"/>
    <x v="1"/>
  </r>
  <r>
    <s v="js-closesources"/>
    <x v="15"/>
    <x v="1"/>
    <s v="20251029-104251"/>
    <x v="0"/>
    <s v="None"/>
    <s v="None"/>
    <n v="0.1363"/>
    <n v="0.47170000000000001"/>
    <x v="1"/>
  </r>
  <r>
    <s v="js-closesources"/>
    <x v="15"/>
    <x v="1"/>
    <s v="20251029-104710"/>
    <x v="1"/>
    <s v="None"/>
    <s v="None"/>
    <n v="0.21809999999999999"/>
    <n v="0.48499999999999999"/>
    <x v="1"/>
  </r>
  <r>
    <s v="js-closesources"/>
    <x v="15"/>
    <x v="1"/>
    <s v="20251029-105119"/>
    <x v="2"/>
    <s v="None"/>
    <s v="None"/>
    <n v="0.45340000000000003"/>
    <n v="0.47070000000000001"/>
    <x v="1"/>
  </r>
  <r>
    <s v="js-closesources"/>
    <x v="16"/>
    <x v="0"/>
    <s v="20251029-060314"/>
    <x v="0"/>
    <n v="0.64629999999999999"/>
    <n v="0.31059999999999999"/>
    <n v="0.31509999999999899"/>
    <n v="0.45789999999999997"/>
    <x v="1"/>
  </r>
  <r>
    <s v="js-closesources"/>
    <x v="16"/>
    <x v="0"/>
    <s v="20251029-111936"/>
    <x v="1"/>
    <s v="None"/>
    <n v="0.31540000000000001"/>
    <n v="0.33410000000000001"/>
    <n v="0.58169999999999999"/>
    <x v="1"/>
  </r>
  <r>
    <s v="js-closesources"/>
    <x v="16"/>
    <x v="1"/>
    <s v="20251029-142441"/>
    <x v="0"/>
    <s v="None"/>
    <s v="None"/>
    <n v="0.26240000000000002"/>
    <n v="0.43059999999999898"/>
    <x v="1"/>
  </r>
  <r>
    <s v="js-closesources"/>
    <x v="16"/>
    <x v="1"/>
    <s v="20251029-162314"/>
    <x v="1"/>
    <s v="None"/>
    <s v="None"/>
    <n v="0.3498"/>
    <n v="0.54120000000000001"/>
    <x v="1"/>
  </r>
  <r>
    <s v="js-closesources"/>
    <x v="16"/>
    <x v="1"/>
    <s v="20251029-181051"/>
    <x v="2"/>
    <s v="None"/>
    <s v="None"/>
    <n v="0.55769999999999897"/>
    <n v="0.5875000000000000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20251028-1-jsdirect3"/>
    <x v="0"/>
    <x v="0"/>
    <s v="20251029-033943"/>
    <x v="0"/>
    <s v="None"/>
    <s v="None"/>
    <n v="0.1106"/>
    <n v="0.1215"/>
    <x v="0"/>
  </r>
  <r>
    <s v="20251028-1-jsdirect3"/>
    <x v="1"/>
    <x v="0"/>
    <s v="20251029-003016"/>
    <x v="0"/>
    <s v="None"/>
    <s v="None"/>
    <n v="6.3200000000000006E-2"/>
    <n v="2.4899999999999999E-2"/>
    <x v="0"/>
  </r>
  <r>
    <s v="20251028-1-jsdirect3"/>
    <x v="2"/>
    <x v="0"/>
    <s v="20251029-034434"/>
    <x v="0"/>
    <s v="None"/>
    <s v="None"/>
    <n v="0.2233"/>
    <n v="8.6699999999999999E-2"/>
    <x v="0"/>
  </r>
  <r>
    <s v="20251028-1-jsdirect3"/>
    <x v="3"/>
    <x v="0"/>
    <s v="20251029-035859"/>
    <x v="0"/>
    <s v="None"/>
    <s v="None"/>
    <n v="0.2515"/>
    <n v="1.09E-2"/>
    <x v="0"/>
  </r>
  <r>
    <s v="20251029-1-java-opensources"/>
    <x v="4"/>
    <x v="1"/>
    <s v="20251029-141855"/>
    <x v="1"/>
    <n v="0.621"/>
    <n v="0.1658"/>
    <n v="0.193"/>
    <n v="0.4516"/>
    <x v="0"/>
  </r>
  <r>
    <s v="20251029-1-java-opensources"/>
    <x v="4"/>
    <x v="1"/>
    <s v="20251029-172111"/>
    <x v="2"/>
    <s v="None"/>
    <n v="0.17080000000000001"/>
    <n v="0.17780000000000001"/>
    <n v="0.30640000000000001"/>
    <x v="0"/>
  </r>
  <r>
    <s v="20251029-1-java-opensources"/>
    <x v="4"/>
    <x v="0"/>
    <s v="20251029-222906"/>
    <x v="1"/>
    <s v="None"/>
    <s v="None"/>
    <n v="0.15620000000000001"/>
    <n v="0.33329999999999999"/>
    <x v="0"/>
  </r>
  <r>
    <s v="20251029-1-java-opensources"/>
    <x v="4"/>
    <x v="0"/>
    <s v="20251030-034426"/>
    <x v="2"/>
    <s v="None"/>
    <s v="None"/>
    <n v="0.23280000000000001"/>
    <n v="0.54049999999999998"/>
    <x v="0"/>
  </r>
  <r>
    <s v="20251028-1-jsdirect3"/>
    <x v="4"/>
    <x v="0"/>
    <s v="20251028-202130"/>
    <x v="0"/>
    <s v="None"/>
    <s v="None"/>
    <n v="0.36409999999999998"/>
    <n v="0.31769999999999998"/>
    <x v="0"/>
  </r>
  <r>
    <s v="20251029-1-java-opensources"/>
    <x v="5"/>
    <x v="1"/>
    <s v="20251029-175440"/>
    <x v="1"/>
    <n v="0.65249999999999997"/>
    <n v="0.2263"/>
    <n v="0.2611"/>
    <n v="0.45979999999999999"/>
    <x v="0"/>
  </r>
  <r>
    <s v="20251029-1-java-opensources"/>
    <x v="5"/>
    <x v="1"/>
    <s v="20251029-194639"/>
    <x v="2"/>
    <s v="None"/>
    <n v="0.21990000000000001"/>
    <n v="0.21740000000000001"/>
    <n v="0.38950000000000001"/>
    <x v="0"/>
  </r>
  <r>
    <s v="20251029-1-java-opensources"/>
    <x v="5"/>
    <x v="0"/>
    <s v="20251030-043918"/>
    <x v="1"/>
    <s v="None"/>
    <s v="None"/>
    <n v="0.2097"/>
    <n v="0.50660000000000005"/>
    <x v="0"/>
  </r>
  <r>
    <s v="20251029-1-java-opensources"/>
    <x v="5"/>
    <x v="0"/>
    <s v="20251030-071615"/>
    <x v="2"/>
    <s v="None"/>
    <s v="None"/>
    <n v="0.2084"/>
    <n v="0.34520000000000001"/>
    <x v="0"/>
  </r>
  <r>
    <s v="20251028-1-jsdirect3"/>
    <x v="5"/>
    <x v="0"/>
    <s v="20251028-204251"/>
    <x v="0"/>
    <s v="None"/>
    <s v="None"/>
    <n v="0.51700000000000002"/>
    <n v="0.40720000000000001"/>
    <x v="0"/>
  </r>
  <r>
    <s v="20251029-1-java-opensources"/>
    <x v="6"/>
    <x v="1"/>
    <s v="20251029-125403"/>
    <x v="1"/>
    <n v="0.64959999999999996"/>
    <n v="0.17699999999999999"/>
    <n v="0.23849999999999999"/>
    <n v="0.32840000000000003"/>
    <x v="0"/>
  </r>
  <r>
    <s v="20251029-1-java-opensources"/>
    <x v="6"/>
    <x v="1"/>
    <s v="20251029-132951"/>
    <x v="2"/>
    <s v="None"/>
    <n v="0.1109"/>
    <n v="0.28389999999999999"/>
    <n v="0.46110000000000001"/>
    <x v="0"/>
  </r>
  <r>
    <s v="20251029-1-java-opensources"/>
    <x v="6"/>
    <x v="0"/>
    <s v="20251029-204820"/>
    <x v="1"/>
    <s v="None"/>
    <s v="None"/>
    <n v="0.22589999999999999"/>
    <n v="0.21809999999999999"/>
    <x v="0"/>
  </r>
  <r>
    <s v="20251029-1-java-opensources"/>
    <x v="6"/>
    <x v="0"/>
    <s v="20251029-211634"/>
    <x v="2"/>
    <s v="None"/>
    <s v="None"/>
    <n v="0.31780000000000003"/>
    <n v="0.36349999999999999"/>
    <x v="0"/>
  </r>
  <r>
    <s v="20251028-1-jsdirect3"/>
    <x v="6"/>
    <x v="0"/>
    <s v="20251028-201946"/>
    <x v="0"/>
    <s v="None"/>
    <s v="None"/>
    <n v="0.40849999999999997"/>
    <n v="0.2301"/>
    <x v="0"/>
  </r>
  <r>
    <s v="20251029-1-java-opensources"/>
    <x v="7"/>
    <x v="1"/>
    <s v="20251029-184641"/>
    <x v="1"/>
    <n v="4.1300000000000003E-2"/>
    <n v="8.0299999999999996E-2"/>
    <n v="5.8599999999999999E-2"/>
    <n v="0"/>
    <x v="0"/>
  </r>
  <r>
    <s v="20251029-1-java-opensources"/>
    <x v="7"/>
    <x v="1"/>
    <s v="20251029-191234"/>
    <x v="2"/>
    <s v="None"/>
    <n v="7.6700000000000004E-2"/>
    <n v="3.4200000000000001E-2"/>
    <n v="0"/>
    <x v="0"/>
  </r>
  <r>
    <s v="20251029-1-java-opensources"/>
    <x v="7"/>
    <x v="0"/>
    <s v="20251030-104414"/>
    <x v="1"/>
    <s v="None"/>
    <s v="None"/>
    <n v="8.09E-2"/>
    <n v="9.4200000000000006E-2"/>
    <x v="0"/>
  </r>
  <r>
    <s v="20251029-1-java-opensources"/>
    <x v="7"/>
    <x v="0"/>
    <s v="20251030-105514"/>
    <x v="2"/>
    <s v="None"/>
    <s v="None"/>
    <n v="3.4299999999999997E-2"/>
    <n v="0"/>
    <x v="0"/>
  </r>
  <r>
    <s v="20251028-1-jsdirect3"/>
    <x v="7"/>
    <x v="0"/>
    <s v="20251029-001818"/>
    <x v="0"/>
    <s v="None"/>
    <s v="None"/>
    <n v="7.7700000000000005E-2"/>
    <n v="0"/>
    <x v="0"/>
  </r>
  <r>
    <s v="20251029-1-java-opensources"/>
    <x v="8"/>
    <x v="1"/>
    <s v="20251029-154027"/>
    <x v="1"/>
    <n v="0.4919"/>
    <n v="0.2142"/>
    <n v="3.9100000000000003E-2"/>
    <n v="6.6000000000000003E-2"/>
    <x v="0"/>
  </r>
  <r>
    <s v="20251029-1-java-opensources"/>
    <x v="8"/>
    <x v="1"/>
    <s v="20251029-171738"/>
    <x v="2"/>
    <s v="None"/>
    <n v="0.1789"/>
    <n v="7.1300000000000002E-2"/>
    <n v="0.22020000000000001"/>
    <x v="0"/>
  </r>
  <r>
    <s v="20251029-1-java-opensources"/>
    <x v="8"/>
    <x v="0"/>
    <s v="20251029-234940"/>
    <x v="1"/>
    <s v="None"/>
    <s v="None"/>
    <n v="8.2000000000000007E-3"/>
    <n v="1.7100000000000001E-2"/>
    <x v="0"/>
  </r>
  <r>
    <s v="20251029-1-java-opensources"/>
    <x v="8"/>
    <x v="0"/>
    <s v="20251030-051120"/>
    <x v="2"/>
    <s v="None"/>
    <s v="None"/>
    <n v="6.0699999999999997E-2"/>
    <n v="0.15920000000000001"/>
    <x v="0"/>
  </r>
  <r>
    <s v="20251028-1-jsdirect3"/>
    <x v="8"/>
    <x v="0"/>
    <s v="20251028-230205"/>
    <x v="0"/>
    <s v="None"/>
    <s v="None"/>
    <n v="0.4753"/>
    <n v="0.43919999999999998"/>
    <x v="0"/>
  </r>
  <r>
    <s v="20251029-1-java-opensources"/>
    <x v="9"/>
    <x v="1"/>
    <s v="20251029-192418"/>
    <x v="1"/>
    <n v="0.57809999999999995"/>
    <n v="8.0399999999999999E-2"/>
    <n v="0.151"/>
    <n v="0.26050000000000001"/>
    <x v="0"/>
  </r>
  <r>
    <s v="20251029-1-java-opensources"/>
    <x v="9"/>
    <x v="1"/>
    <s v="20251029-195320"/>
    <x v="2"/>
    <s v="None"/>
    <n v="8.9300000000000004E-2"/>
    <n v="0.1794"/>
    <n v="0.28050000000000003"/>
    <x v="0"/>
  </r>
  <r>
    <s v="20251029-1-java-opensources"/>
    <x v="9"/>
    <x v="0"/>
    <s v="20251030-111338"/>
    <x v="1"/>
    <s v="None"/>
    <s v="None"/>
    <n v="0.19409999999999999"/>
    <n v="0.42509999999999998"/>
    <x v="0"/>
  </r>
  <r>
    <s v="20251029-1-java-opensources"/>
    <x v="9"/>
    <x v="0"/>
    <s v="20251030-113309"/>
    <x v="2"/>
    <s v="None"/>
    <s v="None"/>
    <n v="0.2485"/>
    <n v="0.43030000000000002"/>
    <x v="0"/>
  </r>
  <r>
    <s v="20251028-1-jsdirect3"/>
    <x v="9"/>
    <x v="0"/>
    <s v="20251028-212851"/>
    <x v="0"/>
    <s v="None"/>
    <s v="None"/>
    <n v="0.55269999999999997"/>
    <n v="0.38579999999999998"/>
    <x v="0"/>
  </r>
  <r>
    <s v="20251028-1-jsdirect3"/>
    <x v="10"/>
    <x v="0"/>
    <s v="20251028-224242"/>
    <x v="0"/>
    <s v="None"/>
    <s v="None"/>
    <n v="0.35670000000000002"/>
    <n v="0.33239999999999997"/>
    <x v="0"/>
  </r>
  <r>
    <s v="20251028-1-jsdirect3"/>
    <x v="11"/>
    <x v="0"/>
    <s v="20251028-215453"/>
    <x v="0"/>
    <s v="None"/>
    <s v="None"/>
    <n v="0.43759999999999999"/>
    <n v="0.38440000000000002"/>
    <x v="0"/>
  </r>
  <r>
    <s v="20251029-1-java-opensources"/>
    <x v="12"/>
    <x v="1"/>
    <s v="20251029-125440"/>
    <x v="1"/>
    <n v="0.59930000000000005"/>
    <n v="5.4199999999999998E-2"/>
    <n v="0.192"/>
    <n v="0.25169999999999998"/>
    <x v="0"/>
  </r>
  <r>
    <s v="20251029-1-java-opensources"/>
    <x v="12"/>
    <x v="1"/>
    <s v="20251029-132743"/>
    <x v="2"/>
    <s v="None"/>
    <n v="6.25E-2"/>
    <n v="0.2112"/>
    <n v="0.3241"/>
    <x v="0"/>
  </r>
  <r>
    <s v="20251029-1-java-opensources"/>
    <x v="12"/>
    <x v="0"/>
    <s v="20251029-201841"/>
    <x v="1"/>
    <s v="None"/>
    <s v="None"/>
    <n v="0.21859999999999999"/>
    <n v="0.35720000000000002"/>
    <x v="0"/>
  </r>
  <r>
    <s v="20251029-1-java-opensources"/>
    <x v="12"/>
    <x v="0"/>
    <s v="20251029-210018"/>
    <x v="2"/>
    <s v="None"/>
    <s v="None"/>
    <n v="0.21190000000000001"/>
    <n v="0.17299999999999999"/>
    <x v="0"/>
  </r>
  <r>
    <s v="20251028-1-jsdirect3"/>
    <x v="12"/>
    <x v="0"/>
    <s v="20251028-205505"/>
    <x v="0"/>
    <s v="None"/>
    <s v="None"/>
    <n v="0.2843"/>
    <n v="0.2243"/>
    <x v="0"/>
  </r>
  <r>
    <s v="20251029-1-java-opensources"/>
    <x v="13"/>
    <x v="1"/>
    <s v="20251029-140305"/>
    <x v="1"/>
    <n v="0.38240000000000002"/>
    <n v="6.8199999999999997E-2"/>
    <n v="0.189"/>
    <n v="0.38900000000000001"/>
    <x v="0"/>
  </r>
  <r>
    <s v="20251029-1-java-opensources"/>
    <x v="13"/>
    <x v="1"/>
    <s v="20251029-145633"/>
    <x v="2"/>
    <s v="None"/>
    <n v="5.3600000000000002E-2"/>
    <n v="0.186"/>
    <n v="0.29010000000000002"/>
    <x v="0"/>
  </r>
  <r>
    <s v="20251029-1-java-opensources"/>
    <x v="13"/>
    <x v="0"/>
    <s v="20251029-221104"/>
    <x v="1"/>
    <s v="None"/>
    <s v="None"/>
    <n v="0.14530000000000001"/>
    <n v="0.29220000000000002"/>
    <x v="0"/>
  </r>
  <r>
    <s v="20251029-1-java-opensources"/>
    <x v="13"/>
    <x v="0"/>
    <s v="20251029-224821"/>
    <x v="2"/>
    <s v="None"/>
    <s v="None"/>
    <n v="6.2300000000000001E-2"/>
    <n v="0.13719999999999999"/>
    <x v="0"/>
  </r>
  <r>
    <s v="20251028-1-jsdirect3"/>
    <x v="13"/>
    <x v="0"/>
    <s v="20251028-212125"/>
    <x v="0"/>
    <s v="None"/>
    <s v="None"/>
    <n v="0.43219999999999997"/>
    <n v="0.22919999999999999"/>
    <x v="0"/>
  </r>
  <r>
    <s v="java-closesources"/>
    <x v="14"/>
    <x v="1"/>
    <s v="20251031-024913"/>
    <x v="1"/>
    <n v="0.5978"/>
    <n v="0.2283"/>
    <n v="0.27760000000000001"/>
    <n v="0.41210000000000002"/>
    <x v="1"/>
  </r>
  <r>
    <s v="java-closesources"/>
    <x v="14"/>
    <x v="1"/>
    <s v="20251031-035211"/>
    <x v="2"/>
    <s v="None"/>
    <n v="0.23780000000000001"/>
    <n v="0.2732"/>
    <n v="0.48599999999999999"/>
    <x v="1"/>
  </r>
  <r>
    <s v="java-closesources"/>
    <x v="14"/>
    <x v="0"/>
    <s v="20251031-043822"/>
    <x v="1"/>
    <s v="None"/>
    <s v="None"/>
    <n v="0.30409999999999898"/>
    <n v="0.40550000000000003"/>
    <x v="1"/>
  </r>
  <r>
    <s v="java-closesources"/>
    <x v="14"/>
    <x v="0"/>
    <s v="20251031-051204"/>
    <x v="2"/>
    <s v="None"/>
    <s v="None"/>
    <n v="0.3306"/>
    <n v="0.52039999999999997"/>
    <x v="1"/>
  </r>
  <r>
    <s v="java-closesources"/>
    <x v="14"/>
    <x v="0"/>
    <s v="20251031-055324"/>
    <x v="0"/>
    <s v="None"/>
    <s v="None"/>
    <n v="0.55959999999999999"/>
    <n v="0.53190000000000004"/>
    <x v="1"/>
  </r>
  <r>
    <s v="java-closesources"/>
    <x v="15"/>
    <x v="1"/>
    <s v="20251031-170431"/>
    <x v="1"/>
    <n v="0.50270000000000004"/>
    <n v="9.1499999999999998E-2"/>
    <n v="0.1507"/>
    <n v="0.48720000000000002"/>
    <x v="1"/>
  </r>
  <r>
    <s v="java-closesources"/>
    <x v="15"/>
    <x v="1"/>
    <s v="20251031-171429"/>
    <x v="2"/>
    <s v="None"/>
    <n v="0.113799999999999"/>
    <n v="0.16009999999999899"/>
    <n v="0.44"/>
    <x v="1"/>
  </r>
  <r>
    <s v="java-closesources"/>
    <x v="15"/>
    <x v="0"/>
    <s v="20251031-172358"/>
    <x v="1"/>
    <s v="None"/>
    <s v="None"/>
    <n v="0.1641"/>
    <n v="0.49509999999999998"/>
    <x v="1"/>
  </r>
  <r>
    <s v="java-closesources"/>
    <x v="15"/>
    <x v="0"/>
    <s v="20251031-173137"/>
    <x v="2"/>
    <s v="None"/>
    <s v="None"/>
    <n v="0.20749999999999999"/>
    <n v="0.48899999999999999"/>
    <x v="1"/>
  </r>
  <r>
    <s v="java-closesources"/>
    <x v="15"/>
    <x v="0"/>
    <s v="20251031-173921"/>
    <x v="0"/>
    <s v="None"/>
    <s v="None"/>
    <n v="0.42980000000000002"/>
    <n v="0.42280000000000001"/>
    <x v="1"/>
  </r>
  <r>
    <s v="java-closesources"/>
    <x v="16"/>
    <x v="1"/>
    <s v="20251031-024108"/>
    <x v="1"/>
    <n v="0.63739999999999897"/>
    <n v="0.30549999999999999"/>
    <n v="0.32390000000000002"/>
    <n v="0.51959999999999895"/>
    <x v="1"/>
  </r>
  <r>
    <s v="java-closesources"/>
    <x v="16"/>
    <x v="1"/>
    <s v="20251031-052318"/>
    <x v="2"/>
    <s v="None"/>
    <n v="0.31009999999999899"/>
    <n v="0.34"/>
    <n v="0.58509999999999995"/>
    <x v="1"/>
  </r>
  <r>
    <s v="java-closesources"/>
    <x v="16"/>
    <x v="0"/>
    <s v="20251031-075336"/>
    <x v="1"/>
    <s v="None"/>
    <s v="None"/>
    <n v="0.29970000000000002"/>
    <n v="0.46450000000000002"/>
    <x v="1"/>
  </r>
  <r>
    <s v="java-closesources"/>
    <x v="16"/>
    <x v="0"/>
    <s v="20251031-090500"/>
    <x v="2"/>
    <s v="None"/>
    <s v="None"/>
    <n v="0.34339999999999898"/>
    <n v="0.56999999999999895"/>
    <x v="1"/>
  </r>
  <r>
    <s v="java-closesources"/>
    <x v="16"/>
    <x v="0"/>
    <s v="20251031-104145"/>
    <x v="0"/>
    <s v="None"/>
    <s v="None"/>
    <n v="0.60209999999999897"/>
    <n v="0.591199999999999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BACCB-E167-4164-815D-9C917463EFBB}" name="数据透视表16" cacheId="66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Z24" firstHeaderRow="1" firstDataRow="4" firstDataCol="2"/>
  <pivotFields count="10">
    <pivotField compact="0" outline="0" showAll="0" defaultSubtotal="0"/>
    <pivotField axis="axisRow" compact="0" outline="0" showAll="0" defaultSubtotal="0">
      <items count="17">
        <item x="0"/>
        <item x="1"/>
        <item x="2"/>
        <item x="3"/>
        <item x="14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</items>
    </pivotField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dataField="1" compact="0" outline="0" showAll="0" defaultSubtotal="0"/>
    <pivotField dataField="1" compact="0" outline="0" showAll="0" defaultSubtotal="0"/>
    <pivotField dataField="1" compact="0" numFmtId="10" outline="0" showAll="0" defaultSubtotal="0"/>
    <pivotField dataField="1" compact="0" numFmtId="10" outline="0" showAll="0" defaultSubtotal="0"/>
    <pivotField axis="axisRow" compact="0" outline="0" subtotalTop="0" showAll="0" defaultSubtotal="0">
      <items count="2">
        <item x="1"/>
        <item x="0"/>
      </items>
    </pivotField>
  </pivotFields>
  <rowFields count="2">
    <field x="9"/>
    <field x="1"/>
  </rowFields>
  <rowItems count="18">
    <i>
      <x/>
      <x v="4"/>
    </i>
    <i r="1">
      <x v="7"/>
    </i>
    <i r="1">
      <x v="8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3">
    <field x="2"/>
    <field x="4"/>
    <field x="-2"/>
  </colFields>
  <colItems count="24">
    <i>
      <x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>
      <x v="1"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t="grand">
      <x/>
    </i>
    <i t="grand" i="1">
      <x/>
    </i>
    <i t="grand" i="2">
      <x/>
    </i>
    <i t="grand" i="3">
      <x/>
    </i>
  </colItems>
  <dataFields count="4">
    <dataField name="平均值项:checklist" fld="5" subtotal="average" baseField="1" baseItem="3"/>
    <dataField name="平均值项:skeleton" fld="6" subtotal="average" baseField="1" baseItem="3"/>
    <dataField name="平均值项:code" fld="7" subtotal="average" baseField="1" baseItem="3"/>
    <dataField name="平均值项:parameter" fld="8" subtotal="average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F5390-58C1-4F5B-9D9C-0E8BC0E5A68B}" name="数据透视表6" cacheId="9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Z24" firstHeaderRow="1" firstDataRow="4" firstDataCol="2"/>
  <pivotFields count="10">
    <pivotField compact="0" outline="0" showAll="0" defaultSubtotal="0"/>
    <pivotField axis="axisRow" compact="0" outline="0" showAll="0" defaultSubtotal="0">
      <items count="17">
        <item x="0"/>
        <item x="1"/>
        <item x="2"/>
        <item x="3"/>
        <item x="14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</items>
    </pivotField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dataField="1" compact="0" outline="0" showAll="0" defaultSubtotal="0"/>
    <pivotField dataField="1" compact="0" outline="0" showAll="0" defaultSubtotal="0"/>
    <pivotField dataField="1" compact="0" numFmtId="10" outline="0" showAll="0" defaultSubtotal="0"/>
    <pivotField dataField="1" compact="0" numFmtId="10" outline="0" showAll="0" defaultSubtotal="0"/>
    <pivotField axis="axisRow" compact="0" outline="0" subtotalTop="0" showAll="0" defaultSubtotal="0">
      <items count="2">
        <item x="1"/>
        <item x="0"/>
      </items>
    </pivotField>
  </pivotFields>
  <rowFields count="2">
    <field x="9"/>
    <field x="1"/>
  </rowFields>
  <rowItems count="18">
    <i>
      <x/>
      <x v="4"/>
    </i>
    <i r="1">
      <x v="7"/>
    </i>
    <i r="1">
      <x v="8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3">
    <field x="2"/>
    <field x="4"/>
    <field x="-2"/>
  </colFields>
  <colItems count="24">
    <i>
      <x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>
      <x v="1"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t="grand">
      <x/>
    </i>
    <i t="grand" i="1">
      <x/>
    </i>
    <i t="grand" i="2">
      <x/>
    </i>
    <i t="grand" i="3">
      <x/>
    </i>
  </colItems>
  <dataFields count="4">
    <dataField name="平均值项:checklist" fld="5" subtotal="average" baseField="1" baseItem="0"/>
    <dataField name="平均值项:skeleton" fld="6" subtotal="average" baseField="1" baseItem="0"/>
    <dataField name="平均值项:code" fld="7" subtotal="average" baseField="1" baseItem="0" numFmtId="10"/>
    <dataField name="平均值项:parameter" fld="8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2D078-EF6F-43BF-8D2B-08D39DF1EBEB}" name="数据透视表5" cacheId="7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Z24" firstHeaderRow="1" firstDataRow="4" firstDataCol="2"/>
  <pivotFields count="10">
    <pivotField compact="0" outline="0" showAll="0" defaultSubtotal="0"/>
    <pivotField axis="axisRow" compact="0" outline="0" showAll="0" defaultSubtotal="0">
      <items count="17">
        <item x="8"/>
        <item x="9"/>
        <item x="10"/>
        <item x="11"/>
        <item x="14"/>
        <item x="0"/>
        <item x="1"/>
        <item x="15"/>
        <item x="16"/>
        <item x="2"/>
        <item x="3"/>
        <item x="4"/>
        <item x="5"/>
        <item x="12"/>
        <item x="13"/>
        <item x="6"/>
        <item x="7"/>
      </items>
    </pivotField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axis="axisCol" compact="0" outline="0" showAll="0" defaultSubtotal="0">
      <items count="3">
        <item x="0"/>
        <item x="1"/>
        <item x="2"/>
      </items>
    </pivotField>
    <pivotField dataField="1" compact="0" outline="0" showAll="0" defaultSubtotal="0"/>
    <pivotField dataField="1" compact="0" outline="0" showAll="0" defaultSubtotal="0"/>
    <pivotField dataField="1" compact="0" numFmtId="10" outline="0" showAll="0" defaultSubtotal="0"/>
    <pivotField dataField="1" compact="0" numFmtId="10" outline="0" showAll="0" defaultSubtotal="0"/>
    <pivotField axis="axisRow" compact="0" outline="0" showAll="0" defaultSubtotal="0">
      <items count="2">
        <item x="1"/>
        <item x="0"/>
      </items>
    </pivotField>
  </pivotFields>
  <rowFields count="2">
    <field x="9"/>
    <field x="1"/>
  </rowFields>
  <rowItems count="18">
    <i>
      <x/>
      <x v="4"/>
    </i>
    <i r="1">
      <x v="7"/>
    </i>
    <i r="1">
      <x v="8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3">
    <field x="2"/>
    <field x="4"/>
    <field x="-2"/>
  </colFields>
  <colItems count="24">
    <i>
      <x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>
      <x v="1"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t="grand">
      <x/>
    </i>
    <i t="grand" i="1">
      <x/>
    </i>
    <i t="grand" i="2">
      <x/>
    </i>
    <i t="grand" i="3">
      <x/>
    </i>
  </colItems>
  <dataFields count="4">
    <dataField name="平均值项:checklist" fld="5" subtotal="average" baseField="1" baseItem="0"/>
    <dataField name="平均值项:skeleton" fld="6" subtotal="average" baseField="1" baseItem="0"/>
    <dataField name="平均值项:code" fld="7" subtotal="average" baseField="1" baseItem="0" numFmtId="10"/>
    <dataField name="平均值项:parameter" fld="8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7042-6524-4A80-8C06-67E2B79015E5}">
  <dimension ref="A1:Q26"/>
  <sheetViews>
    <sheetView tabSelected="1" workbookViewId="0">
      <selection activeCell="L20" sqref="L20"/>
    </sheetView>
  </sheetViews>
  <sheetFormatPr defaultRowHeight="13.8" x14ac:dyDescent="0.25"/>
  <cols>
    <col min="1" max="1" width="18.33203125" bestFit="1" customWidth="1"/>
    <col min="2" max="2" width="11.21875" bestFit="1" customWidth="1"/>
  </cols>
  <sheetData>
    <row r="1" spans="1:14" x14ac:dyDescent="0.25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</row>
    <row r="2" spans="1:14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</row>
    <row r="3" spans="1:14" x14ac:dyDescent="0.25">
      <c r="A3" t="s">
        <v>194</v>
      </c>
      <c r="B3" s="7">
        <f>Calculation!B32</f>
        <v>0.60980000000000001</v>
      </c>
      <c r="C3" s="7">
        <f>Calculation!C32</f>
        <v>0.27009999999999973</v>
      </c>
      <c r="D3" s="7">
        <f>Calculation!D32</f>
        <v>0.29663333333333336</v>
      </c>
      <c r="E3" s="7">
        <f>Calculation!E32</f>
        <v>0.32763333333333333</v>
      </c>
      <c r="F3" s="7">
        <f>Calculation!F32</f>
        <v>0.35000000000000003</v>
      </c>
      <c r="G3" s="7">
        <f>Calculation!G32</f>
        <v>0.31743333333333329</v>
      </c>
      <c r="H3" s="7">
        <f>Calculation!H32</f>
        <v>0.37906666666666666</v>
      </c>
      <c r="I3" s="7">
        <f>Calculation!I32</f>
        <v>0.29453333333333337</v>
      </c>
      <c r="J3" s="7">
        <f>Calculation!J32</f>
        <v>0.28803333333333264</v>
      </c>
      <c r="K3" s="7">
        <f>Calculation!K32</f>
        <v>0.36726666666666663</v>
      </c>
      <c r="L3" s="7">
        <f>Calculation!L32</f>
        <v>0.38169999999999998</v>
      </c>
      <c r="M3" s="7">
        <f>Calculation!M32</f>
        <v>0.55396666666666661</v>
      </c>
      <c r="N3" s="7">
        <f>Calculation!N32</f>
        <v>0.54893333333333338</v>
      </c>
    </row>
    <row r="4" spans="1:14" x14ac:dyDescent="0.25">
      <c r="A4" t="s">
        <v>147</v>
      </c>
      <c r="B4" s="7">
        <f>Calculation!B33</f>
        <v>0.47149999999999997</v>
      </c>
      <c r="C4" s="7">
        <f>Calculation!C33</f>
        <v>0.10583333333333333</v>
      </c>
      <c r="D4" s="7">
        <f>Calculation!D33</f>
        <v>0.12689999999999999</v>
      </c>
      <c r="E4" s="7">
        <f>Calculation!E33</f>
        <v>0.48793333333333305</v>
      </c>
      <c r="F4" s="7">
        <f>Calculation!F33</f>
        <v>0.11603333333333334</v>
      </c>
      <c r="G4" s="7">
        <f>Calculation!G33</f>
        <v>0.12973333333333334</v>
      </c>
      <c r="H4" s="7">
        <f>Calculation!H33</f>
        <v>0.50390000000000013</v>
      </c>
      <c r="I4" s="7">
        <f>Calculation!I33</f>
        <v>0.13033333333333333</v>
      </c>
      <c r="J4" s="7">
        <f>Calculation!J33</f>
        <v>0.4582</v>
      </c>
      <c r="K4" s="7">
        <f>Calculation!K33</f>
        <v>0.19953333333333331</v>
      </c>
      <c r="L4" s="7">
        <f>Calculation!L33</f>
        <v>0.48516666666666658</v>
      </c>
      <c r="M4" s="7">
        <f>Calculation!M33</f>
        <v>0.43780000000000002</v>
      </c>
      <c r="N4" s="7">
        <f>Calculation!N33</f>
        <v>0.46049999999999996</v>
      </c>
    </row>
    <row r="5" spans="1:14" x14ac:dyDescent="0.25">
      <c r="A5" t="s">
        <v>148</v>
      </c>
      <c r="B5" s="7">
        <f>Calculation!B34</f>
        <v>0.64256666666666673</v>
      </c>
      <c r="C5" s="7">
        <f>Calculation!C34</f>
        <v>0.3460666666666663</v>
      </c>
      <c r="D5" s="7">
        <f>Calculation!D34</f>
        <v>0.35093333333333265</v>
      </c>
      <c r="E5" s="7">
        <f>Calculation!E34</f>
        <v>0.42759999999999998</v>
      </c>
      <c r="F5" s="7">
        <f>Calculation!F34</f>
        <v>0.35723333333333329</v>
      </c>
      <c r="G5" s="7">
        <f>Calculation!G34</f>
        <v>0.3738333333333333</v>
      </c>
      <c r="H5" s="7">
        <f>Calculation!H34</f>
        <v>0.56833333333333336</v>
      </c>
      <c r="I5" s="7">
        <f>Calculation!I34</f>
        <v>0.31960000000000005</v>
      </c>
      <c r="J5" s="7">
        <f>Calculation!J34</f>
        <v>0.42836666666666595</v>
      </c>
      <c r="K5" s="7">
        <f>Calculation!K34</f>
        <v>0.38596666666666674</v>
      </c>
      <c r="L5" s="7">
        <f>Calculation!L34</f>
        <v>0.5248666666666667</v>
      </c>
      <c r="M5" s="7">
        <f>Calculation!M34</f>
        <v>0.56769999999999932</v>
      </c>
      <c r="N5" s="7">
        <f>Calculation!N34</f>
        <v>0.60863333333333325</v>
      </c>
    </row>
    <row r="6" spans="1:14" x14ac:dyDescent="0.25">
      <c r="A6" t="s">
        <v>142</v>
      </c>
      <c r="B6" s="7" t="s">
        <v>149</v>
      </c>
      <c r="C6" s="7" t="s">
        <v>144</v>
      </c>
      <c r="D6" s="7" t="s">
        <v>145</v>
      </c>
      <c r="E6" s="7" t="s">
        <v>146</v>
      </c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t="s">
        <v>151</v>
      </c>
      <c r="B7" s="7">
        <f>Calculation!B40</f>
        <v>0.62053333333333338</v>
      </c>
      <c r="C7" s="7">
        <f>Calculation!C40</f>
        <v>0.19620000000000001</v>
      </c>
      <c r="D7" s="7">
        <f>Calculation!D40</f>
        <v>0.2010666666666667</v>
      </c>
      <c r="E7" s="7">
        <f>Calculation!E40</f>
        <v>0.42566666666666664</v>
      </c>
      <c r="F7" s="7">
        <f>Calculation!F40</f>
        <v>0.21426666666666669</v>
      </c>
      <c r="G7" s="7">
        <f>Calculation!G40</f>
        <v>0.16290000000000002</v>
      </c>
      <c r="H7" s="7">
        <f>Calculation!H40</f>
        <v>0.31926666666666664</v>
      </c>
      <c r="I7" s="7">
        <f>Calculation!I40</f>
        <v>0.1608</v>
      </c>
      <c r="J7" s="7">
        <f>Calculation!J40</f>
        <v>0.30986666666666668</v>
      </c>
      <c r="K7" s="7">
        <f>Calculation!K40</f>
        <v>0.1345666666666667</v>
      </c>
      <c r="L7" s="7">
        <f>Calculation!L40</f>
        <v>0.26989999999999997</v>
      </c>
      <c r="M7" s="7">
        <f>Calculation!M40</f>
        <v>0.36293333333333305</v>
      </c>
      <c r="N7" s="7">
        <f>Calculation!N40</f>
        <v>0.32490000000000002</v>
      </c>
    </row>
    <row r="8" spans="1:14" x14ac:dyDescent="0.25">
      <c r="A8" t="s">
        <v>152</v>
      </c>
      <c r="B8" s="7">
        <f>Calculation!B41</f>
        <v>0.63153333333333339</v>
      </c>
      <c r="C8" s="7">
        <f>Calculation!C41</f>
        <v>0.19876666666666665</v>
      </c>
      <c r="D8" s="7">
        <f>Calculation!D41</f>
        <v>0.20513333333333297</v>
      </c>
      <c r="E8" s="7">
        <f>Calculation!E41</f>
        <v>0.41613333333333297</v>
      </c>
      <c r="F8" s="7">
        <f>Calculation!F41</f>
        <v>0.20963333333333334</v>
      </c>
      <c r="G8" s="7">
        <f>Calculation!G41</f>
        <v>0.21736666666666668</v>
      </c>
      <c r="H8" s="7">
        <f>Calculation!H41</f>
        <v>0.4173</v>
      </c>
      <c r="I8" s="7">
        <f>Calculation!I41</f>
        <v>0.25386666666666663</v>
      </c>
      <c r="J8" s="7">
        <f>Calculation!J41</f>
        <v>0.47803333333333331</v>
      </c>
      <c r="K8" s="7">
        <f>Calculation!K41</f>
        <v>0.27986666666666665</v>
      </c>
      <c r="L8" s="7">
        <f>Calculation!L41</f>
        <v>0.45789999999999997</v>
      </c>
      <c r="M8" s="7">
        <f>Calculation!M41</f>
        <v>0.50290000000000001</v>
      </c>
      <c r="N8" s="7">
        <f>Calculation!N41</f>
        <v>0.43183333333333335</v>
      </c>
    </row>
    <row r="9" spans="1:14" x14ac:dyDescent="0.25">
      <c r="A9" t="s">
        <v>150</v>
      </c>
      <c r="B9" s="7">
        <f>Calculation!B42</f>
        <v>0.55963333333333309</v>
      </c>
      <c r="C9" s="7">
        <f>Calculation!C42</f>
        <v>0.14883333333333335</v>
      </c>
      <c r="D9" s="7">
        <f>Calculation!D42</f>
        <v>0.22840000000000002</v>
      </c>
      <c r="E9" s="7">
        <f>Calculation!E42</f>
        <v>0.40660000000000002</v>
      </c>
      <c r="F9" s="7">
        <f>Calculation!F42</f>
        <v>0.17503333333333262</v>
      </c>
      <c r="G9" s="7">
        <f>Calculation!G42</f>
        <v>0.22696666666666565</v>
      </c>
      <c r="H9" s="7">
        <f>Calculation!H42</f>
        <v>0.27363333333333334</v>
      </c>
      <c r="I9" s="7">
        <f>Calculation!I42</f>
        <v>0.20120000000000002</v>
      </c>
      <c r="J9" s="7">
        <f>Calculation!J42</f>
        <v>0.26596666666666663</v>
      </c>
      <c r="K9" s="7">
        <f>Calculation!K42</f>
        <v>0.28186666666666671</v>
      </c>
      <c r="L9" s="7">
        <f>Calculation!L42</f>
        <v>0.32796666666666668</v>
      </c>
      <c r="M9" s="7">
        <f>Calculation!M42</f>
        <v>0.43026666666666596</v>
      </c>
      <c r="N9" s="7">
        <f>Calculation!N42</f>
        <v>0.28033333333333332</v>
      </c>
    </row>
    <row r="10" spans="1:14" x14ac:dyDescent="0.25">
      <c r="A10" t="s">
        <v>155</v>
      </c>
      <c r="B10" s="7">
        <f>Calculation!B43</f>
        <v>4.9700000000000001E-2</v>
      </c>
      <c r="C10" s="7">
        <f>Calculation!C43</f>
        <v>3.9099999999999996E-2</v>
      </c>
      <c r="D10" s="7">
        <f>Calculation!D43</f>
        <v>7.9366666666666627E-2</v>
      </c>
      <c r="E10" s="7">
        <f>Calculation!E43</f>
        <v>1.61E-2</v>
      </c>
      <c r="F10" s="7">
        <f>Calculation!F43</f>
        <v>3.9333333333333331E-2</v>
      </c>
      <c r="G10" s="7">
        <f>Calculation!G43</f>
        <v>8.7599999999999997E-2</v>
      </c>
      <c r="H10" s="7">
        <f>Calculation!H43</f>
        <v>4.99E-2</v>
      </c>
      <c r="I10" s="7">
        <f>Calculation!I43</f>
        <v>3.85E-2</v>
      </c>
      <c r="J10" s="7">
        <f>Calculation!J43</f>
        <v>0</v>
      </c>
      <c r="K10" s="7">
        <f>Calculation!K43</f>
        <v>0.11483333333333334</v>
      </c>
      <c r="L10" s="7">
        <f>Calculation!L43</f>
        <v>3.1466666666666664E-2</v>
      </c>
      <c r="M10" s="7">
        <f>Calculation!M43</f>
        <v>7.1900000000000006E-2</v>
      </c>
      <c r="N10" s="7">
        <f>Calculation!N43</f>
        <v>0</v>
      </c>
    </row>
    <row r="11" spans="1:14" x14ac:dyDescent="0.25">
      <c r="A11" t="s">
        <v>156</v>
      </c>
      <c r="B11" s="7">
        <f>Calculation!B44</f>
        <v>0.49313333333333298</v>
      </c>
      <c r="C11" s="7">
        <f>Calculation!C44</f>
        <v>0.1774</v>
      </c>
      <c r="D11" s="7">
        <f>Calculation!D44</f>
        <v>0.24260000000000001</v>
      </c>
      <c r="E11" s="7">
        <f>Calculation!E44</f>
        <v>0.43769999999999998</v>
      </c>
      <c r="F11" s="7">
        <f>Calculation!F44</f>
        <v>0.19846666666666665</v>
      </c>
      <c r="G11" s="7">
        <f>Calculation!G44</f>
        <v>0.27803333333333335</v>
      </c>
      <c r="H11" s="7">
        <f>Calculation!H44</f>
        <v>0.45150000000000001</v>
      </c>
      <c r="I11" s="7">
        <f>Calculation!I44</f>
        <v>0.25133333333333335</v>
      </c>
      <c r="J11" s="7">
        <f>Calculation!J44</f>
        <v>0.40949999999999998</v>
      </c>
      <c r="K11" s="7">
        <f>Calculation!K44</f>
        <v>0.26406666666666667</v>
      </c>
      <c r="L11" s="7">
        <f>Calculation!L44</f>
        <v>0.48459999999999998</v>
      </c>
      <c r="M11" s="7">
        <f>Calculation!M44</f>
        <v>0.43963333333333332</v>
      </c>
      <c r="N11" s="7">
        <f>Calculation!N44</f>
        <v>0.42646666666666594</v>
      </c>
    </row>
    <row r="12" spans="1:14" x14ac:dyDescent="0.25">
      <c r="A12" t="s">
        <v>157</v>
      </c>
      <c r="B12" s="7">
        <f>Calculation!B45</f>
        <v>0.44646666666666673</v>
      </c>
      <c r="C12" s="7">
        <f>Calculation!C45</f>
        <v>6.7266666666666669E-2</v>
      </c>
      <c r="D12" s="7">
        <f>Calculation!D45</f>
        <v>9.2866666666666667E-2</v>
      </c>
      <c r="E12" s="7">
        <f>Calculation!E45</f>
        <v>0.11086666666666667</v>
      </c>
      <c r="F12" s="7">
        <f>Calculation!F45</f>
        <v>8.883333333333332E-2</v>
      </c>
      <c r="G12" s="7">
        <f>Calculation!G45</f>
        <v>0.12669999999999934</v>
      </c>
      <c r="H12" s="7">
        <f>Calculation!H45</f>
        <v>0.2718666666666667</v>
      </c>
      <c r="I12" s="7">
        <f>Calculation!I45</f>
        <v>0.28106666666666669</v>
      </c>
      <c r="J12" s="7">
        <f>Calculation!J45</f>
        <v>0.40679999999999999</v>
      </c>
      <c r="K12" s="7">
        <f>Calculation!K45</f>
        <v>0.31423333333333331</v>
      </c>
      <c r="L12" s="7">
        <f>Calculation!L45</f>
        <v>0.44300000000000006</v>
      </c>
      <c r="M12" s="7">
        <f>Calculation!M45</f>
        <v>0.53873333333333262</v>
      </c>
      <c r="N12" s="7">
        <f>Calculation!N45</f>
        <v>0.4136333333333333</v>
      </c>
    </row>
    <row r="13" spans="1:14" x14ac:dyDescent="0.25">
      <c r="A13" t="s">
        <v>153</v>
      </c>
      <c r="B13" s="7">
        <f>Calculation!B48</f>
        <v>0.51313333333333333</v>
      </c>
      <c r="C13" s="7">
        <f>Calculation!C48</f>
        <v>0.15243333333333267</v>
      </c>
      <c r="D13" s="7">
        <f>Calculation!D48</f>
        <v>0.19103333333333331</v>
      </c>
      <c r="E13" s="7">
        <f>Calculation!E48</f>
        <v>0.28506666666666597</v>
      </c>
      <c r="F13" s="7">
        <f>Calculation!F48</f>
        <v>0.18579999999999999</v>
      </c>
      <c r="G13" s="7">
        <f>Calculation!G48</f>
        <v>0.16546666666666668</v>
      </c>
      <c r="H13" s="7">
        <f>Calculation!H48</f>
        <v>0.24463333333333301</v>
      </c>
      <c r="I13" s="7">
        <f>Calculation!I48</f>
        <v>0.14043333333333333</v>
      </c>
      <c r="J13" s="7">
        <f>Calculation!J48</f>
        <v>0.19846666666666665</v>
      </c>
      <c r="K13" s="7">
        <f>Calculation!K48</f>
        <v>0.12716666666666662</v>
      </c>
      <c r="L13" s="7">
        <f>Calculation!L48</f>
        <v>0.22879999999999967</v>
      </c>
      <c r="M13" s="7">
        <f>Calculation!M48</f>
        <v>0.34089999999999998</v>
      </c>
      <c r="N13" s="7">
        <f>Calculation!N48</f>
        <v>0.27379999999999999</v>
      </c>
    </row>
    <row r="14" spans="1:14" x14ac:dyDescent="0.25">
      <c r="A14" t="s">
        <v>154</v>
      </c>
      <c r="B14" s="7">
        <f>Calculation!B49</f>
        <v>0.3652333333333333</v>
      </c>
      <c r="C14" s="7">
        <f>Calculation!C49</f>
        <v>0.14253333333333332</v>
      </c>
      <c r="D14" s="7">
        <f>Calculation!D49</f>
        <v>0.1515</v>
      </c>
      <c r="E14" s="7">
        <f>Calculation!E49</f>
        <v>0.26443333333333335</v>
      </c>
      <c r="F14" s="7">
        <f>Calculation!F49</f>
        <v>0.17066666666666666</v>
      </c>
      <c r="G14" s="7">
        <f>Calculation!G49</f>
        <v>0.22766666666666599</v>
      </c>
      <c r="H14" s="7">
        <f>Calculation!H49</f>
        <v>0.27406666666666668</v>
      </c>
      <c r="I14" s="7">
        <f>Calculation!I49</f>
        <v>0.12223333333333332</v>
      </c>
      <c r="J14" s="7">
        <f>Calculation!J49</f>
        <v>0.24343333333333264</v>
      </c>
      <c r="K14" s="7">
        <f>Calculation!K49</f>
        <v>0.14643333333333333</v>
      </c>
      <c r="L14" s="7">
        <f>Calculation!L49</f>
        <v>0.19103333333333336</v>
      </c>
      <c r="M14" s="7">
        <f>Calculation!M49</f>
        <v>0.46099999999999963</v>
      </c>
      <c r="N14" s="7">
        <f>Calculation!N49</f>
        <v>0.24113333333333264</v>
      </c>
    </row>
    <row r="15" spans="1:14" x14ac:dyDescent="0.25">
      <c r="A15" t="s">
        <v>142</v>
      </c>
      <c r="B15" s="7" t="s">
        <v>149</v>
      </c>
      <c r="C15" s="7" t="s">
        <v>158</v>
      </c>
      <c r="D15" s="7" t="s">
        <v>145</v>
      </c>
      <c r="E15" s="7" t="s">
        <v>146</v>
      </c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t="s">
        <v>161</v>
      </c>
      <c r="B16" s="7" t="s">
        <v>273</v>
      </c>
      <c r="C16" s="7" t="s">
        <v>273</v>
      </c>
      <c r="D16" s="7" t="s">
        <v>273</v>
      </c>
      <c r="E16" s="7" t="s">
        <v>273</v>
      </c>
      <c r="F16" s="7" t="s">
        <v>273</v>
      </c>
      <c r="G16" s="7" t="s">
        <v>273</v>
      </c>
      <c r="H16" s="7" t="s">
        <v>273</v>
      </c>
      <c r="I16" s="7" t="s">
        <v>273</v>
      </c>
      <c r="J16" s="7" t="s">
        <v>273</v>
      </c>
      <c r="K16" s="7" t="s">
        <v>273</v>
      </c>
      <c r="L16" s="7" t="s">
        <v>273</v>
      </c>
      <c r="M16" s="7">
        <f>Calculation!M35</f>
        <v>8.3000000000000004E-2</v>
      </c>
      <c r="N16" s="7">
        <f>Calculation!N35</f>
        <v>9.4066666666666673E-2</v>
      </c>
    </row>
    <row r="17" spans="1:17" x14ac:dyDescent="0.25">
      <c r="A17" t="s">
        <v>162</v>
      </c>
      <c r="B17" s="7" t="s">
        <v>273</v>
      </c>
      <c r="C17" s="7" t="s">
        <v>273</v>
      </c>
      <c r="D17" s="7" t="s">
        <v>273</v>
      </c>
      <c r="E17" s="7" t="s">
        <v>273</v>
      </c>
      <c r="F17" s="7" t="s">
        <v>273</v>
      </c>
      <c r="G17" s="7" t="s">
        <v>273</v>
      </c>
      <c r="H17" s="7" t="s">
        <v>273</v>
      </c>
      <c r="I17" s="7" t="s">
        <v>273</v>
      </c>
      <c r="J17" s="7" t="s">
        <v>273</v>
      </c>
      <c r="K17" s="7" t="s">
        <v>273</v>
      </c>
      <c r="L17" s="7" t="s">
        <v>273</v>
      </c>
      <c r="M17" s="7">
        <f>Calculation!M36</f>
        <v>5.0766666666666675E-2</v>
      </c>
      <c r="N17" s="7">
        <f>Calculation!N36</f>
        <v>1.6599999999999934E-2</v>
      </c>
    </row>
    <row r="18" spans="1:17" x14ac:dyDescent="0.25">
      <c r="A18" t="s">
        <v>163</v>
      </c>
      <c r="B18" s="7" t="s">
        <v>273</v>
      </c>
      <c r="C18" s="7" t="s">
        <v>273</v>
      </c>
      <c r="D18" s="7" t="s">
        <v>273</v>
      </c>
      <c r="E18" s="7" t="s">
        <v>273</v>
      </c>
      <c r="F18" s="7" t="s">
        <v>273</v>
      </c>
      <c r="G18" s="7" t="s">
        <v>273</v>
      </c>
      <c r="H18" s="7" t="s">
        <v>273</v>
      </c>
      <c r="I18" s="7" t="s">
        <v>273</v>
      </c>
      <c r="J18" s="7" t="s">
        <v>273</v>
      </c>
      <c r="K18" s="7" t="s">
        <v>273</v>
      </c>
      <c r="L18" s="7" t="s">
        <v>273</v>
      </c>
      <c r="M18" s="7">
        <f>Calculation!M37</f>
        <v>0</v>
      </c>
      <c r="N18" s="7">
        <f>Calculation!N37</f>
        <v>0</v>
      </c>
    </row>
    <row r="19" spans="1:17" x14ac:dyDescent="0.25">
      <c r="A19" t="s">
        <v>164</v>
      </c>
      <c r="B19" s="7" t="s">
        <v>273</v>
      </c>
      <c r="C19" s="7" t="s">
        <v>273</v>
      </c>
      <c r="D19" s="7" t="s">
        <v>273</v>
      </c>
      <c r="E19" s="7" t="s">
        <v>273</v>
      </c>
      <c r="F19" s="7" t="s">
        <v>273</v>
      </c>
      <c r="G19" s="7" t="s">
        <v>273</v>
      </c>
      <c r="H19" s="7" t="s">
        <v>273</v>
      </c>
      <c r="I19" s="7" t="s">
        <v>273</v>
      </c>
      <c r="J19" s="7" t="s">
        <v>273</v>
      </c>
      <c r="K19" s="7" t="s">
        <v>273</v>
      </c>
      <c r="L19" s="7" t="s">
        <v>273</v>
      </c>
      <c r="M19" s="7">
        <f>Calculation!M38</f>
        <v>0.2392</v>
      </c>
      <c r="N19" s="7">
        <f>Calculation!N38</f>
        <v>7.2333333333333333E-2</v>
      </c>
    </row>
    <row r="20" spans="1:17" x14ac:dyDescent="0.25">
      <c r="A20" t="s">
        <v>165</v>
      </c>
      <c r="B20" s="7" t="s">
        <v>273</v>
      </c>
      <c r="C20" s="7" t="s">
        <v>273</v>
      </c>
      <c r="D20" s="7" t="s">
        <v>273</v>
      </c>
      <c r="E20" s="7" t="s">
        <v>273</v>
      </c>
      <c r="F20" s="7" t="s">
        <v>273</v>
      </c>
      <c r="G20" s="7" t="s">
        <v>273</v>
      </c>
      <c r="H20" s="7" t="s">
        <v>273</v>
      </c>
      <c r="I20" s="7" t="s">
        <v>273</v>
      </c>
      <c r="J20" s="7" t="s">
        <v>273</v>
      </c>
      <c r="K20" s="7" t="s">
        <v>273</v>
      </c>
      <c r="L20" s="7" t="s">
        <v>273</v>
      </c>
      <c r="M20" s="7">
        <f>Calculation!M39</f>
        <v>0.2137</v>
      </c>
      <c r="N20" s="7">
        <f>Calculation!N39</f>
        <v>8.5666666666666634E-3</v>
      </c>
    </row>
    <row r="21" spans="1:17" x14ac:dyDescent="0.25">
      <c r="A21" t="s">
        <v>159</v>
      </c>
      <c r="B21" s="7" t="s">
        <v>273</v>
      </c>
      <c r="C21" s="7" t="s">
        <v>273</v>
      </c>
      <c r="D21" s="7" t="s">
        <v>273</v>
      </c>
      <c r="E21" s="7" t="s">
        <v>273</v>
      </c>
      <c r="F21" s="7" t="s">
        <v>273</v>
      </c>
      <c r="G21" s="7" t="s">
        <v>273</v>
      </c>
      <c r="H21" s="7" t="s">
        <v>273</v>
      </c>
      <c r="I21" s="7" t="s">
        <v>273</v>
      </c>
      <c r="J21" s="7" t="s">
        <v>273</v>
      </c>
      <c r="K21" s="7" t="s">
        <v>273</v>
      </c>
      <c r="L21" s="7" t="s">
        <v>273</v>
      </c>
      <c r="M21" s="7">
        <f>Calculation!M46</f>
        <v>0.24480000000000002</v>
      </c>
      <c r="N21" s="7">
        <f>Calculation!N46</f>
        <v>0.23413333333333264</v>
      </c>
    </row>
    <row r="22" spans="1:17" x14ac:dyDescent="0.25">
      <c r="A22" t="s">
        <v>160</v>
      </c>
      <c r="B22" s="7" t="s">
        <v>273</v>
      </c>
      <c r="C22" s="7" t="s">
        <v>273</v>
      </c>
      <c r="D22" s="7" t="s">
        <v>273</v>
      </c>
      <c r="E22" s="7" t="s">
        <v>273</v>
      </c>
      <c r="F22" s="7" t="s">
        <v>273</v>
      </c>
      <c r="G22" s="7" t="s">
        <v>273</v>
      </c>
      <c r="H22" s="7" t="s">
        <v>273</v>
      </c>
      <c r="I22" s="7" t="s">
        <v>273</v>
      </c>
      <c r="J22" s="7" t="s">
        <v>273</v>
      </c>
      <c r="K22" s="7" t="s">
        <v>273</v>
      </c>
      <c r="L22" s="7" t="s">
        <v>273</v>
      </c>
      <c r="M22" s="7">
        <f>Calculation!M47</f>
        <v>0.431933333333333</v>
      </c>
      <c r="N22" s="7">
        <f>Calculation!N47</f>
        <v>0.35823333333333335</v>
      </c>
    </row>
    <row r="23" spans="1:17" x14ac:dyDescent="0.25">
      <c r="A23" t="s">
        <v>166</v>
      </c>
      <c r="B23" s="7">
        <f>Calculation!B50</f>
        <v>0.49120303030303031</v>
      </c>
      <c r="C23" s="7">
        <f>Calculation!C50</f>
        <v>0.16768484848484835</v>
      </c>
      <c r="D23" s="7">
        <f>Calculation!D50</f>
        <v>0.19694848484848473</v>
      </c>
      <c r="E23" s="7">
        <f>Calculation!E50</f>
        <v>0.32779393939393925</v>
      </c>
      <c r="F23" s="7">
        <f>Calculation!F50</f>
        <v>0.19139090909090903</v>
      </c>
      <c r="G23" s="7">
        <f>Calculation!G50</f>
        <v>0.21033636363636343</v>
      </c>
      <c r="H23" s="7">
        <f>Calculation!H50</f>
        <v>0.34122424242424243</v>
      </c>
      <c r="I23" s="7">
        <f>Calculation!I50</f>
        <v>0.19944545454545456</v>
      </c>
      <c r="J23" s="7">
        <f>Calculation!J50</f>
        <v>0.31696969696969673</v>
      </c>
      <c r="K23" s="7">
        <f>Calculation!K50</f>
        <v>0.23780000000000001</v>
      </c>
      <c r="L23" s="7">
        <f>Calculation!L50</f>
        <v>0.34785454545454542</v>
      </c>
      <c r="M23" s="7">
        <f>Calculation!M50</f>
        <v>0.33172962962962932</v>
      </c>
      <c r="N23" s="7">
        <f>Calculation!N50</f>
        <v>0.26633888888888879</v>
      </c>
    </row>
    <row r="26" spans="1:17" x14ac:dyDescent="0.25">
      <c r="Q26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5773-A018-4B44-ACF3-F119FC030A0E}">
  <dimension ref="A1:AS50"/>
  <sheetViews>
    <sheetView topLeftCell="A10" workbookViewId="0">
      <selection activeCell="N47" sqref="B46:N47"/>
    </sheetView>
  </sheetViews>
  <sheetFormatPr defaultRowHeight="13.8" x14ac:dyDescent="0.25"/>
  <cols>
    <col min="13" max="13" width="9.109375" bestFit="1" customWidth="1"/>
  </cols>
  <sheetData>
    <row r="1" spans="1:45" x14ac:dyDescent="0.25">
      <c r="B1" t="s">
        <v>269</v>
      </c>
      <c r="I1" t="s">
        <v>270</v>
      </c>
      <c r="Q1" t="s">
        <v>269</v>
      </c>
      <c r="X1" t="s">
        <v>270</v>
      </c>
      <c r="AG1" t="s">
        <v>269</v>
      </c>
      <c r="AN1" t="s">
        <v>270</v>
      </c>
    </row>
    <row r="2" spans="1:45" x14ac:dyDescent="0.25">
      <c r="B2">
        <v>1</v>
      </c>
      <c r="F2">
        <v>2</v>
      </c>
      <c r="I2">
        <v>1</v>
      </c>
      <c r="K2">
        <v>2</v>
      </c>
      <c r="M2">
        <v>3</v>
      </c>
      <c r="Q2">
        <v>1</v>
      </c>
      <c r="U2">
        <v>2</v>
      </c>
      <c r="X2">
        <v>1</v>
      </c>
      <c r="Z2">
        <v>2</v>
      </c>
      <c r="AB2">
        <v>3</v>
      </c>
      <c r="AG2">
        <v>1</v>
      </c>
      <c r="AK2">
        <v>2</v>
      </c>
      <c r="AN2">
        <v>1</v>
      </c>
      <c r="AP2">
        <v>2</v>
      </c>
      <c r="AR2">
        <v>3</v>
      </c>
    </row>
    <row r="3" spans="1:45" x14ac:dyDescent="0.25">
      <c r="A3" t="s">
        <v>267</v>
      </c>
      <c r="B3" t="s">
        <v>264</v>
      </c>
      <c r="C3" t="s">
        <v>263</v>
      </c>
      <c r="D3" t="s">
        <v>262</v>
      </c>
      <c r="E3" t="s">
        <v>265</v>
      </c>
      <c r="F3" t="s">
        <v>263</v>
      </c>
      <c r="G3" t="s">
        <v>262</v>
      </c>
      <c r="H3" t="s">
        <v>265</v>
      </c>
      <c r="I3" t="s">
        <v>262</v>
      </c>
      <c r="J3" t="s">
        <v>265</v>
      </c>
      <c r="K3" t="s">
        <v>262</v>
      </c>
      <c r="L3" t="s">
        <v>265</v>
      </c>
      <c r="M3" t="s">
        <v>262</v>
      </c>
      <c r="N3" t="s">
        <v>265</v>
      </c>
      <c r="P3" t="s">
        <v>266</v>
      </c>
      <c r="Q3" t="s">
        <v>264</v>
      </c>
      <c r="R3" t="s">
        <v>263</v>
      </c>
      <c r="S3" t="s">
        <v>262</v>
      </c>
      <c r="T3" t="s">
        <v>265</v>
      </c>
      <c r="U3" t="s">
        <v>263</v>
      </c>
      <c r="V3" t="s">
        <v>262</v>
      </c>
      <c r="W3" t="s">
        <v>265</v>
      </c>
      <c r="X3" t="s">
        <v>262</v>
      </c>
      <c r="Y3" t="s">
        <v>265</v>
      </c>
      <c r="Z3" t="s">
        <v>262</v>
      </c>
      <c r="AA3" t="s">
        <v>265</v>
      </c>
      <c r="AB3" t="s">
        <v>262</v>
      </c>
      <c r="AC3" t="s">
        <v>265</v>
      </c>
      <c r="AF3" t="s">
        <v>271</v>
      </c>
      <c r="AG3" t="s">
        <v>264</v>
      </c>
      <c r="AH3" t="s">
        <v>263</v>
      </c>
      <c r="AI3" t="s">
        <v>262</v>
      </c>
      <c r="AJ3" t="s">
        <v>265</v>
      </c>
      <c r="AK3" t="s">
        <v>263</v>
      </c>
      <c r="AL3" t="s">
        <v>262</v>
      </c>
      <c r="AM3" t="s">
        <v>265</v>
      </c>
      <c r="AN3" t="s">
        <v>262</v>
      </c>
      <c r="AO3" t="s">
        <v>265</v>
      </c>
      <c r="AP3" t="s">
        <v>262</v>
      </c>
      <c r="AQ3" t="s">
        <v>265</v>
      </c>
      <c r="AR3" t="s">
        <v>262</v>
      </c>
      <c r="AS3" t="s">
        <v>265</v>
      </c>
    </row>
    <row r="4" spans="1:45" x14ac:dyDescent="0.25">
      <c r="A4" t="str">
        <f>'Python Pivot'!B7</f>
        <v>gemini-2.5-flash</v>
      </c>
      <c r="B4">
        <f>'Python Pivot'!C7</f>
        <v>0.62</v>
      </c>
      <c r="C4">
        <f>'Python Pivot'!D7</f>
        <v>0.35589999999999899</v>
      </c>
      <c r="D4">
        <f>'Python Pivot'!E7</f>
        <v>0.37809999999999999</v>
      </c>
      <c r="E4">
        <f>'Python Pivot'!F7</f>
        <v>0.32329999999999998</v>
      </c>
      <c r="F4">
        <f>'Python Pivot'!H7</f>
        <v>0.35920000000000002</v>
      </c>
      <c r="G4">
        <f>'Python Pivot'!I7</f>
        <v>0.3947</v>
      </c>
      <c r="H4">
        <f>'Python Pivot'!J7</f>
        <v>0.30859999999999999</v>
      </c>
      <c r="I4">
        <f>'Python Pivot'!M7</f>
        <v>0.44259999999999999</v>
      </c>
      <c r="J4">
        <f>'Python Pivot'!N7</f>
        <v>0.29809999999999998</v>
      </c>
      <c r="K4">
        <f>'Python Pivot'!Q7</f>
        <v>0.433</v>
      </c>
      <c r="L4">
        <f>'Python Pivot'!R7</f>
        <v>0.36570000000000003</v>
      </c>
      <c r="M4">
        <f>'Python Pivot'!U7</f>
        <v>0.57230000000000003</v>
      </c>
      <c r="N4">
        <f>'Python Pivot'!V7</f>
        <v>0.50560000000000005</v>
      </c>
      <c r="P4" t="str">
        <f>'JavaScript Pivot'!B7</f>
        <v>gemini-2.5-flash</v>
      </c>
      <c r="Q4" s="5">
        <f>'JavaScript Pivot'!C7</f>
        <v>0.60470000000000002</v>
      </c>
      <c r="R4" s="5">
        <f>'JavaScript Pivot'!D7</f>
        <v>0.22720000000000001</v>
      </c>
      <c r="S4" s="1">
        <f>'JavaScript Pivot'!E7</f>
        <v>0.25590000000000002</v>
      </c>
      <c r="T4" s="1">
        <f>'JavaScript Pivot'!F7</f>
        <v>0.32979999999999998</v>
      </c>
      <c r="U4" s="1">
        <f>'JavaScript Pivot'!H7</f>
        <v>0.34539999999999998</v>
      </c>
      <c r="V4" s="1">
        <f>'JavaScript Pivot'!I7</f>
        <v>0.27879999999999999</v>
      </c>
      <c r="W4" s="1">
        <f>'JavaScript Pivot'!J7</f>
        <v>0.4143</v>
      </c>
      <c r="X4" s="1">
        <f>'JavaScript Pivot'!M7</f>
        <v>0.2205</v>
      </c>
      <c r="Y4" s="1">
        <f>'JavaScript Pivot'!N7</f>
        <v>0.28299999999999897</v>
      </c>
      <c r="Z4">
        <f>'JavaScript Pivot'!Q7</f>
        <v>0.33439999999999998</v>
      </c>
      <c r="AA4">
        <f>'JavaScript Pivot'!R7</f>
        <v>0.38969999999999999</v>
      </c>
      <c r="AB4">
        <f>'JavaScript Pivot'!U7</f>
        <v>0.54479999999999995</v>
      </c>
      <c r="AC4">
        <f>'JavaScript Pivot'!V7</f>
        <v>0.5706</v>
      </c>
      <c r="AF4" t="s">
        <v>74</v>
      </c>
      <c r="AG4" s="5">
        <v>0.60470000000000002</v>
      </c>
      <c r="AH4" s="5">
        <v>0.22720000000000001</v>
      </c>
      <c r="AI4" s="1">
        <v>0.25590000000000002</v>
      </c>
      <c r="AJ4" s="1">
        <v>0.32979999999999998</v>
      </c>
      <c r="AK4" s="5">
        <v>0.34539999999999998</v>
      </c>
      <c r="AL4" s="1">
        <v>0.27879999999999999</v>
      </c>
      <c r="AM4" s="1">
        <v>0.4143</v>
      </c>
      <c r="AN4" s="1">
        <v>0.2205</v>
      </c>
      <c r="AO4" s="1">
        <v>0.28299999999999897</v>
      </c>
      <c r="AP4" s="1">
        <v>0.33439999999999998</v>
      </c>
      <c r="AQ4" s="1">
        <v>0.38969999999999999</v>
      </c>
      <c r="AR4" s="1">
        <v>0.54479999999999995</v>
      </c>
      <c r="AS4" s="1">
        <v>0.5706</v>
      </c>
    </row>
    <row r="5" spans="1:45" x14ac:dyDescent="0.25">
      <c r="A5" t="str">
        <f>'Python Pivot'!B8</f>
        <v>gpt-3.5-turbo</v>
      </c>
      <c r="B5">
        <f>'Python Pivot'!C8</f>
        <v>0.44650000000000001</v>
      </c>
      <c r="C5">
        <f>'Python Pivot'!D8</f>
        <v>0.10929999999999999</v>
      </c>
      <c r="D5">
        <f>'Python Pivot'!E8</f>
        <v>0.1197</v>
      </c>
      <c r="E5">
        <f>'Python Pivot'!F8</f>
        <v>0.45739999999999897</v>
      </c>
      <c r="F5">
        <f>'Python Pivot'!H8</f>
        <v>0.13350000000000001</v>
      </c>
      <c r="G5">
        <f>'Python Pivot'!I8</f>
        <v>0.13120000000000001</v>
      </c>
      <c r="H5">
        <f>'Python Pivot'!J8</f>
        <v>0.47410000000000002</v>
      </c>
      <c r="I5">
        <f>'Python Pivot'!M8</f>
        <v>0.11840000000000001</v>
      </c>
      <c r="J5">
        <f>'Python Pivot'!N8</f>
        <v>0.43120000000000003</v>
      </c>
      <c r="K5">
        <f>'Python Pivot'!Q8</f>
        <v>0.16239999999999999</v>
      </c>
      <c r="L5">
        <f>'Python Pivot'!R8</f>
        <v>0.48549999999999999</v>
      </c>
      <c r="M5">
        <f>'Python Pivot'!U8</f>
        <v>0.40660000000000002</v>
      </c>
      <c r="N5">
        <f>'Python Pivot'!V8</f>
        <v>0.44009999999999999</v>
      </c>
      <c r="P5" t="str">
        <f>'JavaScript Pivot'!B8</f>
        <v>gpt-3.5-turbo</v>
      </c>
      <c r="Q5" s="5">
        <f>'JavaScript Pivot'!C8</f>
        <v>0.48399999999999999</v>
      </c>
      <c r="R5" s="5">
        <f>'JavaScript Pivot'!D8</f>
        <v>0.1041</v>
      </c>
      <c r="S5" s="1">
        <f>'JavaScript Pivot'!E8</f>
        <v>0.1305</v>
      </c>
      <c r="T5" s="1">
        <f>'JavaScript Pivot'!F8</f>
        <v>0.50319999999999998</v>
      </c>
      <c r="U5" s="1">
        <f>'JavaScript Pivot'!H8</f>
        <v>0.10730000000000001</v>
      </c>
      <c r="V5" s="1">
        <f>'JavaScript Pivot'!I8</f>
        <v>0.129</v>
      </c>
      <c r="W5" s="1">
        <f>'JavaScript Pivot'!J8</f>
        <v>0.51880000000000004</v>
      </c>
      <c r="X5" s="1">
        <f>'JavaScript Pivot'!M8</f>
        <v>0.1363</v>
      </c>
      <c r="Y5" s="1">
        <f>'JavaScript Pivot'!N8</f>
        <v>0.47170000000000001</v>
      </c>
      <c r="Z5">
        <f>'JavaScript Pivot'!Q8</f>
        <v>0.21809999999999999</v>
      </c>
      <c r="AA5">
        <f>'JavaScript Pivot'!R8</f>
        <v>0.48499999999999999</v>
      </c>
      <c r="AB5">
        <f>'JavaScript Pivot'!U8</f>
        <v>0.45340000000000003</v>
      </c>
      <c r="AC5">
        <f>'JavaScript Pivot'!V8</f>
        <v>0.47070000000000001</v>
      </c>
      <c r="AF5" t="s">
        <v>80</v>
      </c>
      <c r="AG5" s="5">
        <v>0.48399999999999999</v>
      </c>
      <c r="AH5" s="5">
        <v>0.1041</v>
      </c>
      <c r="AI5" s="1">
        <v>0.1305</v>
      </c>
      <c r="AJ5" s="1">
        <v>0.50319999999999998</v>
      </c>
      <c r="AK5" s="5">
        <v>0.10730000000000001</v>
      </c>
      <c r="AL5" s="1">
        <v>0.129</v>
      </c>
      <c r="AM5" s="1">
        <v>0.51880000000000004</v>
      </c>
      <c r="AN5" s="1">
        <v>0.1363</v>
      </c>
      <c r="AO5" s="1">
        <v>0.47170000000000001</v>
      </c>
      <c r="AP5" s="1">
        <v>0.21809999999999999</v>
      </c>
      <c r="AQ5" s="1">
        <v>0.48499999999999999</v>
      </c>
      <c r="AR5" s="1">
        <v>0.45340000000000003</v>
      </c>
      <c r="AS5" s="1">
        <v>0.47070000000000001</v>
      </c>
    </row>
    <row r="6" spans="1:45" x14ac:dyDescent="0.25">
      <c r="A6" t="str">
        <f>'Python Pivot'!B9</f>
        <v>gpt-5</v>
      </c>
      <c r="B6">
        <f>'Python Pivot'!C9</f>
        <v>0.6351</v>
      </c>
      <c r="C6">
        <f>'Python Pivot'!D9</f>
        <v>0.41699999999999898</v>
      </c>
      <c r="D6">
        <f>'Python Pivot'!E9</f>
        <v>0.42259999999999998</v>
      </c>
      <c r="E6">
        <f>'Python Pivot'!F9</f>
        <v>0.36699999999999999</v>
      </c>
      <c r="F6">
        <f>'Python Pivot'!H9</f>
        <v>0.44090000000000001</v>
      </c>
      <c r="G6">
        <f>'Python Pivot'!I9</f>
        <v>0.45329999999999998</v>
      </c>
      <c r="H6">
        <f>'Python Pivot'!J9</f>
        <v>0.54159999999999997</v>
      </c>
      <c r="I6">
        <f>'Python Pivot'!M9</f>
        <v>0.434</v>
      </c>
      <c r="J6">
        <f>'Python Pivot'!N9</f>
        <v>0.4239</v>
      </c>
      <c r="K6">
        <f>'Python Pivot'!Q9</f>
        <v>0.45829999999999999</v>
      </c>
      <c r="L6">
        <f>'Python Pivot'!R9</f>
        <v>0.49220000000000003</v>
      </c>
      <c r="M6">
        <f>'Python Pivot'!U9</f>
        <v>0.5877</v>
      </c>
      <c r="N6">
        <f>'Python Pivot'!V9</f>
        <v>0.65090000000000003</v>
      </c>
      <c r="P6" t="str">
        <f>'JavaScript Pivot'!B9</f>
        <v>gpt-5</v>
      </c>
      <c r="Q6" s="5">
        <f>'JavaScript Pivot'!C9</f>
        <v>0.64629999999999999</v>
      </c>
      <c r="R6" s="5">
        <f>'JavaScript Pivot'!D9</f>
        <v>0.31059999999999999</v>
      </c>
      <c r="S6" s="1">
        <f>'JavaScript Pivot'!E9</f>
        <v>0.31509999999999899</v>
      </c>
      <c r="T6" s="1">
        <f>'JavaScript Pivot'!F9</f>
        <v>0.45789999999999997</v>
      </c>
      <c r="U6" s="1">
        <f>'JavaScript Pivot'!H9</f>
        <v>0.31540000000000001</v>
      </c>
      <c r="V6" s="1">
        <f>'JavaScript Pivot'!I9</f>
        <v>0.33410000000000001</v>
      </c>
      <c r="W6" s="1">
        <f>'JavaScript Pivot'!J9</f>
        <v>0.58169999999999999</v>
      </c>
      <c r="X6" s="1">
        <f>'JavaScript Pivot'!M9</f>
        <v>0.26240000000000002</v>
      </c>
      <c r="Y6" s="1">
        <f>'JavaScript Pivot'!N9</f>
        <v>0.43059999999999898</v>
      </c>
      <c r="Z6">
        <f>'JavaScript Pivot'!Q9</f>
        <v>0.3498</v>
      </c>
      <c r="AA6">
        <f>'JavaScript Pivot'!R9</f>
        <v>0.54120000000000001</v>
      </c>
      <c r="AB6">
        <f>'JavaScript Pivot'!U9</f>
        <v>0.55769999999999897</v>
      </c>
      <c r="AC6">
        <f>'JavaScript Pivot'!V9</f>
        <v>0.58750000000000002</v>
      </c>
      <c r="AF6" t="s">
        <v>86</v>
      </c>
      <c r="AG6" s="5">
        <v>0.64629999999999999</v>
      </c>
      <c r="AH6" s="5">
        <v>0.31059999999999999</v>
      </c>
      <c r="AI6" s="1">
        <v>0.31509999999999899</v>
      </c>
      <c r="AJ6" s="1">
        <v>0.45789999999999997</v>
      </c>
      <c r="AK6" s="5">
        <v>0.31540000000000001</v>
      </c>
      <c r="AL6" s="1">
        <v>0.33410000000000001</v>
      </c>
      <c r="AM6" s="1">
        <v>0.58169999999999999</v>
      </c>
      <c r="AN6" s="1">
        <v>0.26240000000000002</v>
      </c>
      <c r="AO6" s="1">
        <v>0.43059999999999898</v>
      </c>
      <c r="AP6" s="1">
        <v>0.3498</v>
      </c>
      <c r="AQ6" s="1">
        <v>0.54120000000000001</v>
      </c>
      <c r="AR6" s="1">
        <v>0.55769999999999897</v>
      </c>
      <c r="AS6" s="1">
        <v>0.58750000000000002</v>
      </c>
    </row>
    <row r="7" spans="1:45" x14ac:dyDescent="0.25">
      <c r="A7" t="str">
        <f>'Python Pivot'!B10</f>
        <v>codellama-13b</v>
      </c>
      <c r="B7">
        <f>'Python Pivot'!C10</f>
        <v>0</v>
      </c>
      <c r="C7">
        <f>'Python Pivot'!D10</f>
        <v>0</v>
      </c>
      <c r="D7">
        <f>'Python Pivot'!E10</f>
        <v>0</v>
      </c>
      <c r="E7">
        <f>'Python Pivot'!F10</f>
        <v>0</v>
      </c>
      <c r="F7">
        <f>'Python Pivot'!H10</f>
        <v>0</v>
      </c>
      <c r="G7">
        <f>'Python Pivot'!I10</f>
        <v>0</v>
      </c>
      <c r="H7">
        <f>'Python Pivot'!J10</f>
        <v>0</v>
      </c>
      <c r="I7">
        <f>'Python Pivot'!M10</f>
        <v>0</v>
      </c>
      <c r="J7">
        <f>'Python Pivot'!N10</f>
        <v>0</v>
      </c>
      <c r="K7">
        <f>'Python Pivot'!Q10</f>
        <v>0</v>
      </c>
      <c r="L7">
        <f>'Python Pivot'!R10</f>
        <v>0</v>
      </c>
      <c r="M7">
        <f>'Python Pivot'!U10</f>
        <v>2.7799999999999998E-2</v>
      </c>
      <c r="N7">
        <f>'Python Pivot'!V10</f>
        <v>3.9199999999999999E-2</v>
      </c>
      <c r="P7" t="str">
        <f>'JavaScript Pivot'!B10</f>
        <v>codellama-13b</v>
      </c>
      <c r="Q7" s="5">
        <f>'JavaScript Pivot'!C10</f>
        <v>0</v>
      </c>
      <c r="R7" s="5">
        <f>'JavaScript Pivot'!D10</f>
        <v>0</v>
      </c>
      <c r="S7" s="1">
        <f>'JavaScript Pivot'!E10</f>
        <v>0</v>
      </c>
      <c r="T7" s="1">
        <f>'JavaScript Pivot'!F10</f>
        <v>0</v>
      </c>
      <c r="U7" s="1">
        <f>'JavaScript Pivot'!H10</f>
        <v>0</v>
      </c>
      <c r="V7" s="1">
        <f>'JavaScript Pivot'!I10</f>
        <v>0</v>
      </c>
      <c r="W7" s="1">
        <f>'JavaScript Pivot'!J10</f>
        <v>0</v>
      </c>
      <c r="X7" s="1">
        <f>'JavaScript Pivot'!M10</f>
        <v>0</v>
      </c>
      <c r="Y7" s="1">
        <f>'JavaScript Pivot'!N10</f>
        <v>0</v>
      </c>
      <c r="Z7">
        <f>'JavaScript Pivot'!Q10</f>
        <v>0</v>
      </c>
      <c r="AA7">
        <f>'JavaScript Pivot'!R10</f>
        <v>0</v>
      </c>
      <c r="AB7">
        <f>'JavaScript Pivot'!U10</f>
        <v>0.1106</v>
      </c>
      <c r="AC7">
        <f>'JavaScript Pivot'!V10</f>
        <v>0.1215</v>
      </c>
      <c r="AF7" t="s">
        <v>10</v>
      </c>
      <c r="AG7" s="5"/>
      <c r="AH7" s="5"/>
      <c r="AI7" s="1"/>
      <c r="AJ7" s="1"/>
      <c r="AK7" s="5"/>
      <c r="AL7" s="1"/>
      <c r="AM7" s="1"/>
      <c r="AN7" s="1"/>
      <c r="AO7" s="1"/>
      <c r="AP7" s="1"/>
      <c r="AQ7" s="1"/>
      <c r="AR7" s="1">
        <v>0.1106</v>
      </c>
      <c r="AS7" s="1">
        <v>0.1215</v>
      </c>
    </row>
    <row r="8" spans="1:45" x14ac:dyDescent="0.25">
      <c r="A8" t="str">
        <f>'Python Pivot'!B11</f>
        <v>codellama-34b</v>
      </c>
      <c r="B8">
        <f>'Python Pivot'!C11</f>
        <v>0</v>
      </c>
      <c r="C8">
        <f>'Python Pivot'!D11</f>
        <v>0</v>
      </c>
      <c r="D8">
        <f>'Python Pivot'!E11</f>
        <v>0</v>
      </c>
      <c r="E8">
        <f>'Python Pivot'!F11</f>
        <v>0</v>
      </c>
      <c r="F8">
        <f>'Python Pivot'!H11</f>
        <v>0</v>
      </c>
      <c r="G8">
        <f>'Python Pivot'!I11</f>
        <v>0</v>
      </c>
      <c r="H8">
        <f>'Python Pivot'!J11</f>
        <v>0</v>
      </c>
      <c r="I8">
        <f>'Python Pivot'!M11</f>
        <v>0</v>
      </c>
      <c r="J8">
        <f>'Python Pivot'!N11</f>
        <v>0</v>
      </c>
      <c r="K8">
        <f>'Python Pivot'!Q11</f>
        <v>0</v>
      </c>
      <c r="L8">
        <f>'Python Pivot'!R11</f>
        <v>0</v>
      </c>
      <c r="M8">
        <f>'Python Pivot'!U11</f>
        <v>2.5899999999999999E-2</v>
      </c>
      <c r="N8">
        <f>'Python Pivot'!V11</f>
        <v>0</v>
      </c>
      <c r="P8" t="str">
        <f>'JavaScript Pivot'!B11</f>
        <v>codellama-34b</v>
      </c>
      <c r="Q8" s="5">
        <f>'JavaScript Pivot'!C11</f>
        <v>0</v>
      </c>
      <c r="R8" s="5">
        <f>'JavaScript Pivot'!D11</f>
        <v>0</v>
      </c>
      <c r="S8" s="1">
        <f>'JavaScript Pivot'!E11</f>
        <v>0</v>
      </c>
      <c r="T8" s="1">
        <f>'JavaScript Pivot'!F11</f>
        <v>0</v>
      </c>
      <c r="U8" s="1">
        <f>'JavaScript Pivot'!H11</f>
        <v>0</v>
      </c>
      <c r="V8" s="1">
        <f>'JavaScript Pivot'!I11</f>
        <v>0</v>
      </c>
      <c r="W8" s="1">
        <f>'JavaScript Pivot'!J11</f>
        <v>0</v>
      </c>
      <c r="X8" s="1">
        <f>'JavaScript Pivot'!M11</f>
        <v>0</v>
      </c>
      <c r="Y8" s="1">
        <f>'JavaScript Pivot'!N11</f>
        <v>0</v>
      </c>
      <c r="Z8">
        <f>'JavaScript Pivot'!Q11</f>
        <v>0</v>
      </c>
      <c r="AA8">
        <f>'JavaScript Pivot'!R11</f>
        <v>0</v>
      </c>
      <c r="AB8">
        <f>'JavaScript Pivot'!U11</f>
        <v>6.3200000000000006E-2</v>
      </c>
      <c r="AC8">
        <f>'JavaScript Pivot'!V11</f>
        <v>2.4899999999999901E-2</v>
      </c>
      <c r="AF8" t="s">
        <v>14</v>
      </c>
      <c r="AG8" s="5"/>
      <c r="AH8" s="5"/>
      <c r="AI8" s="1"/>
      <c r="AJ8" s="1"/>
      <c r="AK8" s="5"/>
      <c r="AL8" s="1"/>
      <c r="AM8" s="1"/>
      <c r="AN8" s="1"/>
      <c r="AO8" s="1"/>
      <c r="AP8" s="1"/>
      <c r="AQ8" s="1"/>
      <c r="AR8" s="1">
        <v>6.3200000000000006E-2</v>
      </c>
      <c r="AS8" s="1">
        <v>2.4899999999999901E-2</v>
      </c>
    </row>
    <row r="9" spans="1:45" x14ac:dyDescent="0.25">
      <c r="A9" s="6" t="s">
        <v>268</v>
      </c>
      <c r="P9" s="6" t="s">
        <v>268</v>
      </c>
      <c r="AF9" s="6" t="s">
        <v>268</v>
      </c>
    </row>
    <row r="10" spans="1:45" x14ac:dyDescent="0.25">
      <c r="A10" t="str">
        <f>'Python Pivot'!B12</f>
        <v>deepseek-coder-33b</v>
      </c>
      <c r="B10">
        <f>'Python Pivot'!C12</f>
        <v>0</v>
      </c>
      <c r="C10">
        <f>'Python Pivot'!D12</f>
        <v>0</v>
      </c>
      <c r="D10">
        <f>'Python Pivot'!E12</f>
        <v>0</v>
      </c>
      <c r="E10">
        <f>'Python Pivot'!F12</f>
        <v>0</v>
      </c>
      <c r="F10">
        <f>'Python Pivot'!H12</f>
        <v>0</v>
      </c>
      <c r="G10">
        <f>'Python Pivot'!I12</f>
        <v>0</v>
      </c>
      <c r="H10">
        <f>'Python Pivot'!J12</f>
        <v>0</v>
      </c>
      <c r="I10">
        <f>'Python Pivot'!M12</f>
        <v>0</v>
      </c>
      <c r="J10">
        <f>'Python Pivot'!N12</f>
        <v>0</v>
      </c>
      <c r="K10">
        <f>'Python Pivot'!Q12</f>
        <v>0</v>
      </c>
      <c r="L10">
        <f>'Python Pivot'!R12</f>
        <v>0</v>
      </c>
      <c r="M10">
        <f>'Python Pivot'!U12</f>
        <v>0.27100000000000002</v>
      </c>
      <c r="N10">
        <f>'Python Pivot'!V12</f>
        <v>4.36E-2</v>
      </c>
      <c r="P10" s="6" t="str">
        <f>'JavaScript Pivot'!B12</f>
        <v>deepseek-coder-33b</v>
      </c>
      <c r="Q10" s="5">
        <f>'JavaScript Pivot'!C12</f>
        <v>0</v>
      </c>
      <c r="R10" s="5">
        <f>'JavaScript Pivot'!D12</f>
        <v>0</v>
      </c>
      <c r="S10" s="1">
        <f>'JavaScript Pivot'!E12</f>
        <v>0</v>
      </c>
      <c r="T10" s="1">
        <f>'JavaScript Pivot'!F12</f>
        <v>0</v>
      </c>
      <c r="U10" s="1">
        <f>'JavaScript Pivot'!H12</f>
        <v>0</v>
      </c>
      <c r="V10" s="1">
        <f>'JavaScript Pivot'!I12</f>
        <v>0</v>
      </c>
      <c r="W10" s="1">
        <f>'JavaScript Pivot'!J12</f>
        <v>0</v>
      </c>
      <c r="X10" s="1">
        <f>'JavaScript Pivot'!M12</f>
        <v>0</v>
      </c>
      <c r="Y10" s="1">
        <f>'JavaScript Pivot'!N12</f>
        <v>0</v>
      </c>
      <c r="Z10">
        <f>'JavaScript Pivot'!Q12</f>
        <v>0</v>
      </c>
      <c r="AA10">
        <f>'JavaScript Pivot'!R12</f>
        <v>0</v>
      </c>
      <c r="AB10">
        <f>'JavaScript Pivot'!U12</f>
        <v>0.2233</v>
      </c>
      <c r="AC10">
        <f>'JavaScript Pivot'!V12</f>
        <v>8.6699999999999999E-2</v>
      </c>
      <c r="AF10" t="s">
        <v>16</v>
      </c>
      <c r="AG10" s="5"/>
      <c r="AH10" s="5"/>
      <c r="AI10" s="1"/>
      <c r="AJ10" s="1"/>
      <c r="AK10" s="5"/>
      <c r="AL10" s="1"/>
      <c r="AM10" s="1"/>
      <c r="AN10" s="1"/>
      <c r="AO10" s="1"/>
      <c r="AP10" s="1"/>
      <c r="AQ10" s="1"/>
      <c r="AR10" s="1">
        <v>0.2233</v>
      </c>
      <c r="AS10" s="1">
        <v>8.6699999999999999E-2</v>
      </c>
    </row>
    <row r="11" spans="1:45" x14ac:dyDescent="0.25">
      <c r="A11" t="str">
        <f>'Python Pivot'!B13</f>
        <v>deepseek-coder-6.7b</v>
      </c>
      <c r="B11">
        <f>'Python Pivot'!C13</f>
        <v>0</v>
      </c>
      <c r="C11">
        <f>'Python Pivot'!D13</f>
        <v>0</v>
      </c>
      <c r="D11">
        <f>'Python Pivot'!E13</f>
        <v>0</v>
      </c>
      <c r="E11">
        <f>'Python Pivot'!F13</f>
        <v>0</v>
      </c>
      <c r="F11">
        <f>'Python Pivot'!H13</f>
        <v>0</v>
      </c>
      <c r="G11">
        <f>'Python Pivot'!I13</f>
        <v>0</v>
      </c>
      <c r="H11">
        <f>'Python Pivot'!J13</f>
        <v>0</v>
      </c>
      <c r="I11">
        <f>'Python Pivot'!M13</f>
        <v>0</v>
      </c>
      <c r="J11">
        <f>'Python Pivot'!N13</f>
        <v>0</v>
      </c>
      <c r="K11">
        <f>'Python Pivot'!Q13</f>
        <v>0</v>
      </c>
      <c r="L11">
        <f>'Python Pivot'!R13</f>
        <v>0</v>
      </c>
      <c r="M11">
        <f>'Python Pivot'!U13</f>
        <v>0.1381</v>
      </c>
      <c r="N11">
        <f>'Python Pivot'!V13</f>
        <v>3.8999999999999898E-3</v>
      </c>
      <c r="P11" t="str">
        <f>'JavaScript Pivot'!B13</f>
        <v>deepseek-coder-6.7b</v>
      </c>
      <c r="Q11" s="5">
        <f>'JavaScript Pivot'!C13</f>
        <v>0</v>
      </c>
      <c r="R11" s="5">
        <f>'JavaScript Pivot'!D13</f>
        <v>0</v>
      </c>
      <c r="S11" s="1">
        <f>'JavaScript Pivot'!E13</f>
        <v>0</v>
      </c>
      <c r="T11" s="1">
        <f>'JavaScript Pivot'!F13</f>
        <v>0</v>
      </c>
      <c r="U11" s="1">
        <f>'JavaScript Pivot'!H13</f>
        <v>0</v>
      </c>
      <c r="V11" s="1">
        <f>'JavaScript Pivot'!I13</f>
        <v>0</v>
      </c>
      <c r="W11" s="1">
        <f>'JavaScript Pivot'!J13</f>
        <v>0</v>
      </c>
      <c r="X11" s="1">
        <f>'JavaScript Pivot'!M13</f>
        <v>0</v>
      </c>
      <c r="Y11" s="1">
        <f>'JavaScript Pivot'!N13</f>
        <v>0</v>
      </c>
      <c r="Z11">
        <f>'JavaScript Pivot'!Q13</f>
        <v>0</v>
      </c>
      <c r="AA11">
        <f>'JavaScript Pivot'!R13</f>
        <v>0</v>
      </c>
      <c r="AB11">
        <f>'JavaScript Pivot'!U13</f>
        <v>0.2515</v>
      </c>
      <c r="AC11">
        <f>'JavaScript Pivot'!V13</f>
        <v>1.09E-2</v>
      </c>
      <c r="AF11" t="s">
        <v>18</v>
      </c>
      <c r="AG11" s="5"/>
      <c r="AH11" s="5"/>
      <c r="AI11" s="1"/>
      <c r="AJ11" s="1"/>
      <c r="AK11" s="5"/>
      <c r="AL11" s="1"/>
      <c r="AM11" s="1"/>
      <c r="AN11" s="1"/>
      <c r="AO11" s="1"/>
      <c r="AP11" s="1"/>
      <c r="AQ11" s="1"/>
      <c r="AR11" s="1">
        <v>0.2515</v>
      </c>
      <c r="AS11" s="1">
        <v>1.09E-2</v>
      </c>
    </row>
    <row r="12" spans="1:45" x14ac:dyDescent="0.25">
      <c r="A12" t="str">
        <f>'Python Pivot'!B14</f>
        <v>gemma3-12b</v>
      </c>
      <c r="B12">
        <f>'Python Pivot'!C14</f>
        <v>0.61860000000000004</v>
      </c>
      <c r="C12">
        <f>'Python Pivot'!D14</f>
        <v>0.18579999999999999</v>
      </c>
      <c r="D12">
        <f>'Python Pivot'!E14</f>
        <v>0.20860000000000001</v>
      </c>
      <c r="E12">
        <f>'Python Pivot'!F14</f>
        <v>0.32619999999999999</v>
      </c>
      <c r="F12">
        <f>'Python Pivot'!H14</f>
        <v>0.19020000000000001</v>
      </c>
      <c r="G12">
        <f>'Python Pivot'!I14</f>
        <v>0.1179</v>
      </c>
      <c r="H12">
        <f>'Python Pivot'!J14</f>
        <v>0.19059999999999999</v>
      </c>
      <c r="I12">
        <f>'Python Pivot'!M14</f>
        <v>0.14680000000000001</v>
      </c>
      <c r="J12">
        <f>'Python Pivot'!N14</f>
        <v>0.16739999999999999</v>
      </c>
      <c r="K12">
        <f>'Python Pivot'!Q14</f>
        <v>0.2087</v>
      </c>
      <c r="L12">
        <f>'Python Pivot'!R14</f>
        <v>0.42209999999999998</v>
      </c>
      <c r="M12">
        <f>'Python Pivot'!U14</f>
        <v>0.36059999999999898</v>
      </c>
      <c r="N12">
        <f>'Python Pivot'!V14</f>
        <v>0.33929999999999999</v>
      </c>
      <c r="P12" t="str">
        <f>'JavaScript Pivot'!B14</f>
        <v>gemma3-12b</v>
      </c>
      <c r="Q12" s="5">
        <f>'JavaScript Pivot'!C14</f>
        <v>0.62150000000000005</v>
      </c>
      <c r="R12" s="5">
        <f>'JavaScript Pivot'!D14</f>
        <v>0.2014</v>
      </c>
      <c r="S12" s="1">
        <f>'JavaScript Pivot'!E14</f>
        <v>0.1973</v>
      </c>
      <c r="T12" s="1">
        <f>'JavaScript Pivot'!F14</f>
        <v>0.47539999999999999</v>
      </c>
      <c r="U12" s="1">
        <f>'JavaScript Pivot'!H14</f>
        <v>0.2263</v>
      </c>
      <c r="V12" s="1">
        <f>'JavaScript Pivot'!I14</f>
        <v>0.18540000000000001</v>
      </c>
      <c r="W12" s="1">
        <f>'JavaScript Pivot'!J14</f>
        <v>0.3836</v>
      </c>
      <c r="X12" s="1">
        <f>'JavaScript Pivot'!M14</f>
        <v>0.1678</v>
      </c>
      <c r="Y12" s="1">
        <f>'JavaScript Pivot'!N14</f>
        <v>0.38109999999999999</v>
      </c>
      <c r="Z12">
        <f>'JavaScript Pivot'!Q14</f>
        <v>9.7500000000000003E-2</v>
      </c>
      <c r="AA12">
        <f>'JavaScript Pivot'!R14</f>
        <v>0.1938</v>
      </c>
      <c r="AB12">
        <f>'JavaScript Pivot'!U14</f>
        <v>0.36409999999999998</v>
      </c>
      <c r="AC12">
        <f>'JavaScript Pivot'!V14</f>
        <v>0.31769999999999998</v>
      </c>
      <c r="AF12" t="s">
        <v>20</v>
      </c>
      <c r="AG12" s="5">
        <v>0.62150000000000005</v>
      </c>
      <c r="AH12" s="5">
        <v>0.2014</v>
      </c>
      <c r="AI12" s="1">
        <v>0.1973</v>
      </c>
      <c r="AJ12" s="1">
        <v>0.47539999999999999</v>
      </c>
      <c r="AK12" s="5">
        <v>0.2263</v>
      </c>
      <c r="AL12" s="1">
        <v>0.18540000000000001</v>
      </c>
      <c r="AM12" s="1">
        <v>0.3836</v>
      </c>
      <c r="AN12" s="1">
        <v>0.1678</v>
      </c>
      <c r="AO12" s="1">
        <v>0.38109999999999999</v>
      </c>
      <c r="AP12" s="1">
        <v>9.7500000000000003E-2</v>
      </c>
      <c r="AQ12" s="1">
        <v>0.1938</v>
      </c>
      <c r="AR12" s="1">
        <v>0.36409999999999998</v>
      </c>
      <c r="AS12" s="1">
        <v>0.31769999999999998</v>
      </c>
    </row>
    <row r="13" spans="1:45" x14ac:dyDescent="0.25">
      <c r="A13" t="str">
        <f>'Python Pivot'!B15</f>
        <v>gemma3-27b</v>
      </c>
      <c r="B13">
        <f>'Python Pivot'!C15</f>
        <v>0.58960000000000001</v>
      </c>
      <c r="C13">
        <f>'Python Pivot'!D15</f>
        <v>0.1905</v>
      </c>
      <c r="D13">
        <f>'Python Pivot'!E15</f>
        <v>0.14499999999999899</v>
      </c>
      <c r="E13">
        <f>'Python Pivot'!F15</f>
        <v>0.14879999999999899</v>
      </c>
      <c r="F13">
        <f>'Python Pivot'!H15</f>
        <v>0.1943</v>
      </c>
      <c r="G13">
        <f>'Python Pivot'!I15</f>
        <v>0.16370000000000001</v>
      </c>
      <c r="H13">
        <f>'Python Pivot'!J15</f>
        <v>0.24210000000000001</v>
      </c>
      <c r="I13">
        <f>'Python Pivot'!M15</f>
        <v>0.316</v>
      </c>
      <c r="J13">
        <f>'Python Pivot'!N15</f>
        <v>0.42570000000000002</v>
      </c>
      <c r="K13">
        <f>'Python Pivot'!Q15</f>
        <v>0.33979999999999999</v>
      </c>
      <c r="L13">
        <f>'Python Pivot'!R15</f>
        <v>0.43990000000000001</v>
      </c>
      <c r="M13">
        <f>'Python Pivot'!U15</f>
        <v>0.47470000000000001</v>
      </c>
      <c r="N13">
        <f>'Python Pivot'!V15</f>
        <v>0.48110000000000003</v>
      </c>
      <c r="P13" t="str">
        <f>'JavaScript Pivot'!B15</f>
        <v>gemma3-27b</v>
      </c>
      <c r="Q13" s="5">
        <f>'JavaScript Pivot'!C15</f>
        <v>0.65249999999999997</v>
      </c>
      <c r="R13" s="5">
        <f>'JavaScript Pivot'!D15</f>
        <v>0.2029</v>
      </c>
      <c r="S13" s="1">
        <f>'JavaScript Pivot'!E15</f>
        <v>0.23519999999999999</v>
      </c>
      <c r="T13" s="1">
        <f>'JavaScript Pivot'!F15</f>
        <v>0.54979999999999996</v>
      </c>
      <c r="U13" s="1">
        <f>'JavaScript Pivot'!H15</f>
        <v>0.21729999999999999</v>
      </c>
      <c r="V13" s="1">
        <f>'JavaScript Pivot'!I15</f>
        <v>0.2442</v>
      </c>
      <c r="W13" s="1">
        <f>'JavaScript Pivot'!J15</f>
        <v>0.50490000000000002</v>
      </c>
      <c r="X13" s="1">
        <f>'JavaScript Pivot'!M15</f>
        <v>0.2228</v>
      </c>
      <c r="Y13" s="1">
        <f>'JavaScript Pivot'!N15</f>
        <v>0.50419999999999998</v>
      </c>
      <c r="Z13">
        <f>'JavaScript Pivot'!Q15</f>
        <v>0.24990000000000001</v>
      </c>
      <c r="AA13">
        <f>'JavaScript Pivot'!R15</f>
        <v>0.46689999999999998</v>
      </c>
      <c r="AB13">
        <f>'JavaScript Pivot'!U15</f>
        <v>0.51700000000000002</v>
      </c>
      <c r="AC13">
        <f>'JavaScript Pivot'!V15</f>
        <v>0.40720000000000001</v>
      </c>
      <c r="AF13" t="s">
        <v>27</v>
      </c>
      <c r="AG13" s="5">
        <v>0.65249999999999997</v>
      </c>
      <c r="AH13" s="5">
        <v>0.2029</v>
      </c>
      <c r="AI13" s="1">
        <v>0.23519999999999999</v>
      </c>
      <c r="AJ13" s="1">
        <v>0.54979999999999996</v>
      </c>
      <c r="AK13" s="5">
        <v>0.21729999999999999</v>
      </c>
      <c r="AL13" s="1">
        <v>0.2442</v>
      </c>
      <c r="AM13" s="1">
        <v>0.50490000000000002</v>
      </c>
      <c r="AN13" s="1">
        <v>0.2228</v>
      </c>
      <c r="AO13" s="1">
        <v>0.50419999999999998</v>
      </c>
      <c r="AP13" s="1">
        <v>0.24990000000000001</v>
      </c>
      <c r="AQ13" s="1">
        <v>0.46689999999999998</v>
      </c>
      <c r="AR13" s="1">
        <v>0.51700000000000002</v>
      </c>
      <c r="AS13" s="1">
        <v>0.40720000000000001</v>
      </c>
    </row>
    <row r="14" spans="1:45" x14ac:dyDescent="0.25">
      <c r="A14" t="str">
        <f>'Python Pivot'!B16</f>
        <v>gpt-oss-20b</v>
      </c>
      <c r="B14">
        <f>'Python Pivot'!C16</f>
        <v>0.53269999999999895</v>
      </c>
      <c r="C14">
        <f>'Python Pivot'!D16</f>
        <v>0.13250000000000001</v>
      </c>
      <c r="D14">
        <f>'Python Pivot'!E16</f>
        <v>0.23480000000000001</v>
      </c>
      <c r="E14">
        <f>'Python Pivot'!F16</f>
        <v>0.23039999999999999</v>
      </c>
      <c r="F14">
        <f>'Python Pivot'!H16</f>
        <v>0.12670000000000001</v>
      </c>
      <c r="G14">
        <f>'Python Pivot'!I16</f>
        <v>0.30669999999999897</v>
      </c>
      <c r="H14">
        <f>'Python Pivot'!J16</f>
        <v>0.29370000000000002</v>
      </c>
      <c r="I14">
        <f>'Python Pivot'!M16</f>
        <v>0.25380000000000003</v>
      </c>
      <c r="J14">
        <f>'Python Pivot'!N16</f>
        <v>0.30549999999999999</v>
      </c>
      <c r="K14">
        <f>'Python Pivot'!Q16</f>
        <v>0.30620000000000003</v>
      </c>
      <c r="L14">
        <f>'Python Pivot'!R16</f>
        <v>0.37230000000000002</v>
      </c>
      <c r="M14">
        <f>'Python Pivot'!U16</f>
        <v>0.4738</v>
      </c>
      <c r="N14">
        <f>'Python Pivot'!V16</f>
        <v>0.38080000000000003</v>
      </c>
      <c r="P14" t="str">
        <f>'JavaScript Pivot'!B16</f>
        <v>gpt-oss-20b</v>
      </c>
      <c r="Q14" s="5">
        <f>'JavaScript Pivot'!C16</f>
        <v>0.57310000000000005</v>
      </c>
      <c r="R14" s="5">
        <f>'JavaScript Pivot'!D16</f>
        <v>0.157</v>
      </c>
      <c r="S14" s="1">
        <f>'JavaScript Pivot'!E16</f>
        <v>0.22520000000000001</v>
      </c>
      <c r="T14" s="1">
        <f>'JavaScript Pivot'!F16</f>
        <v>0.49469999999999997</v>
      </c>
      <c r="U14" s="1">
        <f>'JavaScript Pivot'!H16</f>
        <v>0.19919999999999899</v>
      </c>
      <c r="V14" s="1">
        <f>'JavaScript Pivot'!I16</f>
        <v>0.18709999999999899</v>
      </c>
      <c r="W14" s="1">
        <f>'JavaScript Pivot'!J16</f>
        <v>0.2636</v>
      </c>
      <c r="X14" s="1">
        <f>'JavaScript Pivot'!M16</f>
        <v>0.1749</v>
      </c>
      <c r="Y14" s="1">
        <f>'JavaScript Pivot'!N16</f>
        <v>0.2462</v>
      </c>
      <c r="Z14">
        <f>'JavaScript Pivot'!Q16</f>
        <v>0.2697</v>
      </c>
      <c r="AA14">
        <f>'JavaScript Pivot'!R16</f>
        <v>0.30580000000000002</v>
      </c>
      <c r="AB14">
        <f>'JavaScript Pivot'!U16</f>
        <v>0.40849999999999898</v>
      </c>
      <c r="AC14">
        <f>'JavaScript Pivot'!V16</f>
        <v>0.2301</v>
      </c>
      <c r="AF14" t="s">
        <v>33</v>
      </c>
      <c r="AG14" s="5">
        <v>0.57310000000000005</v>
      </c>
      <c r="AH14" s="5">
        <v>0.157</v>
      </c>
      <c r="AI14" s="1">
        <v>0.22520000000000001</v>
      </c>
      <c r="AJ14" s="1">
        <v>0.49469999999999997</v>
      </c>
      <c r="AK14" s="5">
        <v>0.19919999999999899</v>
      </c>
      <c r="AL14" s="1">
        <v>0.18709999999999899</v>
      </c>
      <c r="AM14" s="1">
        <v>0.2636</v>
      </c>
      <c r="AN14" s="1">
        <v>0.1749</v>
      </c>
      <c r="AO14" s="1">
        <v>0.2462</v>
      </c>
      <c r="AP14" s="1">
        <v>0.2697</v>
      </c>
      <c r="AQ14" s="1">
        <v>0.30580000000000002</v>
      </c>
      <c r="AR14" s="1">
        <v>0.40849999999999898</v>
      </c>
      <c r="AS14" s="1">
        <v>0.2301</v>
      </c>
    </row>
    <row r="15" spans="1:45" x14ac:dyDescent="0.25">
      <c r="A15" t="str">
        <f>'Python Pivot'!B17</f>
        <v>llama3.1-8b</v>
      </c>
      <c r="B15">
        <f>'Python Pivot'!C17</f>
        <v>6.6500000000000004E-2</v>
      </c>
      <c r="C15">
        <f>'Python Pivot'!D17</f>
        <v>3.6499999999999998E-2</v>
      </c>
      <c r="D15">
        <f>'Python Pivot'!E17</f>
        <v>5.2299999999999902E-2</v>
      </c>
      <c r="E15">
        <f>'Python Pivot'!F17</f>
        <v>4.8300000000000003E-2</v>
      </c>
      <c r="F15">
        <f>'Python Pivot'!H17</f>
        <v>4.8800000000000003E-2</v>
      </c>
      <c r="G15">
        <f>'Python Pivot'!I17</f>
        <v>7.22E-2</v>
      </c>
      <c r="H15">
        <f>'Python Pivot'!J17</f>
        <v>7.3700000000000002E-2</v>
      </c>
      <c r="I15">
        <f>'Python Pivot'!M17</f>
        <v>1.9699999999999999E-2</v>
      </c>
      <c r="J15">
        <f>'Python Pivot'!N17</f>
        <v>0</v>
      </c>
      <c r="K15">
        <f>'Python Pivot'!Q17</f>
        <v>2.1100000000000001E-2</v>
      </c>
      <c r="L15">
        <f>'Python Pivot'!R17</f>
        <v>7.22E-2</v>
      </c>
      <c r="M15">
        <f>'Python Pivot'!U17</f>
        <v>6.0299999999999999E-2</v>
      </c>
      <c r="N15">
        <f>'Python Pivot'!V17</f>
        <v>0</v>
      </c>
      <c r="P15" t="str">
        <f>'JavaScript Pivot'!B17</f>
        <v>llama3.1-8b</v>
      </c>
      <c r="Q15" s="5">
        <f>'JavaScript Pivot'!C17</f>
        <v>4.1300000000000003E-2</v>
      </c>
      <c r="R15" s="5">
        <f>'JavaScript Pivot'!D17</f>
        <v>4.0399999999999998E-2</v>
      </c>
      <c r="S15" s="1">
        <f>'JavaScript Pivot'!E17</f>
        <v>9.2899999999999996E-2</v>
      </c>
      <c r="T15" s="1">
        <f>'JavaScript Pivot'!F17</f>
        <v>0</v>
      </c>
      <c r="U15" s="1">
        <f>'JavaScript Pivot'!H17</f>
        <v>3.4599999999999999E-2</v>
      </c>
      <c r="V15" s="1">
        <f>'JavaScript Pivot'!I17</f>
        <v>9.5299999999999996E-2</v>
      </c>
      <c r="W15" s="1">
        <f>'JavaScript Pivot'!J17</f>
        <v>3.7999999999999999E-2</v>
      </c>
      <c r="X15" s="1">
        <f>'JavaScript Pivot'!M17</f>
        <v>4.7899999999999998E-2</v>
      </c>
      <c r="Y15" s="1">
        <f>'JavaScript Pivot'!N17</f>
        <v>0</v>
      </c>
      <c r="Z15">
        <f>'JavaScript Pivot'!Q17</f>
        <v>0.16170000000000001</v>
      </c>
      <c r="AA15">
        <f>'JavaScript Pivot'!R17</f>
        <v>1.11E-2</v>
      </c>
      <c r="AB15">
        <f>'JavaScript Pivot'!U17</f>
        <v>7.7700000000000005E-2</v>
      </c>
      <c r="AC15">
        <f>'JavaScript Pivot'!V17</f>
        <v>0</v>
      </c>
      <c r="AF15" t="s">
        <v>39</v>
      </c>
      <c r="AG15" s="5">
        <v>4.1300000000000003E-2</v>
      </c>
      <c r="AH15" s="5">
        <v>4.0399999999999998E-2</v>
      </c>
      <c r="AI15" s="1">
        <v>9.2899999999999996E-2</v>
      </c>
      <c r="AJ15" s="1">
        <v>0</v>
      </c>
      <c r="AK15" s="5">
        <v>3.4599999999999999E-2</v>
      </c>
      <c r="AL15" s="1">
        <v>9.5299999999999996E-2</v>
      </c>
      <c r="AM15" s="1">
        <v>3.7999999999999999E-2</v>
      </c>
      <c r="AN15" s="1">
        <v>4.7899999999999998E-2</v>
      </c>
      <c r="AO15" s="1">
        <v>0</v>
      </c>
      <c r="AP15" s="1">
        <v>0.16170000000000001</v>
      </c>
      <c r="AQ15" s="1">
        <v>1.11E-2</v>
      </c>
      <c r="AR15" s="1">
        <v>7.7700000000000005E-2</v>
      </c>
      <c r="AS15" s="1">
        <v>0</v>
      </c>
    </row>
    <row r="16" spans="1:45" x14ac:dyDescent="0.25">
      <c r="A16" t="str">
        <f>'Python Pivot'!B18</f>
        <v>llama3.3-70b</v>
      </c>
      <c r="B16">
        <f>'Python Pivot'!C18</f>
        <v>0.49559999999999899</v>
      </c>
      <c r="C16">
        <f>'Python Pivot'!D18</f>
        <v>0.1648</v>
      </c>
      <c r="D16">
        <f>'Python Pivot'!E18</f>
        <v>0.2228</v>
      </c>
      <c r="E16">
        <f>'Python Pivot'!F18</f>
        <v>0.34810000000000002</v>
      </c>
      <c r="F16">
        <f>'Python Pivot'!H18</f>
        <v>0.17519999999999999</v>
      </c>
      <c r="G16">
        <f>'Python Pivot'!I18</f>
        <v>0.2767</v>
      </c>
      <c r="H16">
        <f>'Python Pivot'!J18</f>
        <v>0.42049999999999998</v>
      </c>
      <c r="I16">
        <f>'Python Pivot'!M18</f>
        <v>0.34320000000000001</v>
      </c>
      <c r="J16">
        <f>'Python Pivot'!N18</f>
        <v>0.50990000000000002</v>
      </c>
      <c r="K16">
        <f>'Python Pivot'!Q18</f>
        <v>0.2928</v>
      </c>
      <c r="L16">
        <f>'Python Pivot'!R18</f>
        <v>0.46079999999999999</v>
      </c>
      <c r="M16">
        <f>'Python Pivot'!U18</f>
        <v>0.36830000000000002</v>
      </c>
      <c r="N16">
        <f>'Python Pivot'!V18</f>
        <v>0.40100000000000002</v>
      </c>
      <c r="P16" t="str">
        <f>'JavaScript Pivot'!B18</f>
        <v>llama3.3-70b</v>
      </c>
      <c r="Q16" s="5">
        <f>'JavaScript Pivot'!C18</f>
        <v>0.4919</v>
      </c>
      <c r="R16" s="5">
        <f>'JavaScript Pivot'!D18</f>
        <v>0.1837</v>
      </c>
      <c r="S16" s="1">
        <f>'JavaScript Pivot'!E18</f>
        <v>0.2525</v>
      </c>
      <c r="T16" s="1">
        <f>'JavaScript Pivot'!F18</f>
        <v>0.48249999999999998</v>
      </c>
      <c r="U16" s="1">
        <f>'JavaScript Pivot'!H18</f>
        <v>0.21010000000000001</v>
      </c>
      <c r="V16" s="1">
        <f>'JavaScript Pivot'!I18</f>
        <v>0.2787</v>
      </c>
      <c r="W16" s="1">
        <f>'JavaScript Pivot'!J18</f>
        <v>0.46700000000000003</v>
      </c>
      <c r="X16" s="1">
        <f>'JavaScript Pivot'!M18</f>
        <v>0.2054</v>
      </c>
      <c r="Y16" s="1">
        <f>'JavaScript Pivot'!N18</f>
        <v>0.35930000000000001</v>
      </c>
      <c r="Z16">
        <f>'JavaScript Pivot'!Q18</f>
        <v>0.24970000000000001</v>
      </c>
      <c r="AA16">
        <f>'JavaScript Pivot'!R18</f>
        <v>0.4965</v>
      </c>
      <c r="AB16">
        <f>'JavaScript Pivot'!U18</f>
        <v>0.4753</v>
      </c>
      <c r="AC16">
        <f>'JavaScript Pivot'!V18</f>
        <v>0.43919999999999898</v>
      </c>
      <c r="AF16" t="s">
        <v>45</v>
      </c>
      <c r="AG16" s="5">
        <v>0.4919</v>
      </c>
      <c r="AH16" s="5">
        <v>0.1837</v>
      </c>
      <c r="AI16" s="1">
        <v>0.2525</v>
      </c>
      <c r="AJ16" s="1">
        <v>0.48249999999999998</v>
      </c>
      <c r="AK16" s="5">
        <v>0.21010000000000001</v>
      </c>
      <c r="AL16" s="1">
        <v>0.2787</v>
      </c>
      <c r="AM16" s="1">
        <v>0.46700000000000003</v>
      </c>
      <c r="AN16" s="1">
        <v>0.2054</v>
      </c>
      <c r="AO16" s="1">
        <v>0.35930000000000001</v>
      </c>
      <c r="AP16" s="1">
        <v>0.24970000000000001</v>
      </c>
      <c r="AQ16" s="1">
        <v>0.4965</v>
      </c>
      <c r="AR16" s="1">
        <v>0.4753</v>
      </c>
      <c r="AS16" s="1">
        <v>0.43919999999999898</v>
      </c>
    </row>
    <row r="17" spans="1:45" x14ac:dyDescent="0.25">
      <c r="A17" t="str">
        <f>'Python Pivot'!B19</f>
        <v>phi4-14b</v>
      </c>
      <c r="B17">
        <f>'Python Pivot'!C19</f>
        <v>0.57820000000000005</v>
      </c>
      <c r="C17">
        <f>'Python Pivot'!D19</f>
        <v>0</v>
      </c>
      <c r="D17">
        <f>'Python Pivot'!E19</f>
        <v>0</v>
      </c>
      <c r="E17">
        <f>'Python Pivot'!F19</f>
        <v>0</v>
      </c>
      <c r="F17">
        <f>'Python Pivot'!H19</f>
        <v>2.9100000000000001E-2</v>
      </c>
      <c r="G17">
        <f>'Python Pivot'!I19</f>
        <v>2.81E-2</v>
      </c>
      <c r="H17">
        <f>'Python Pivot'!J19</f>
        <v>7.0999999999999994E-2</v>
      </c>
      <c r="I17">
        <f>'Python Pivot'!M19</f>
        <v>0.39340000000000003</v>
      </c>
      <c r="J17">
        <f>'Python Pivot'!N19</f>
        <v>0.43340000000000001</v>
      </c>
      <c r="K17">
        <f>'Python Pivot'!Q19</f>
        <v>0.3619</v>
      </c>
      <c r="L17">
        <f>'Python Pivot'!R19</f>
        <v>0.45639999999999997</v>
      </c>
      <c r="M17">
        <f>'Python Pivot'!U19</f>
        <v>0.51080000000000003</v>
      </c>
      <c r="N17">
        <f>'Python Pivot'!V19</f>
        <v>0.46929999999999999</v>
      </c>
      <c r="P17" t="str">
        <f>'JavaScript Pivot'!B19</f>
        <v>phi4-14b</v>
      </c>
      <c r="Q17" s="5">
        <f>'JavaScript Pivot'!C19</f>
        <v>0.38059999999999999</v>
      </c>
      <c r="R17" s="5">
        <f>'JavaScript Pivot'!D19</f>
        <v>0.1009</v>
      </c>
      <c r="S17" s="1">
        <f>'JavaScript Pivot'!E19</f>
        <v>0.13930000000000001</v>
      </c>
      <c r="T17" s="1">
        <f>'JavaScript Pivot'!F19</f>
        <v>0.1663</v>
      </c>
      <c r="U17" s="1">
        <f>'JavaScript Pivot'!H19</f>
        <v>0.1187</v>
      </c>
      <c r="V17" s="1">
        <f>'JavaScript Pivot'!I19</f>
        <v>0.17599999999999899</v>
      </c>
      <c r="W17" s="1">
        <f>'JavaScript Pivot'!J19</f>
        <v>0.37230000000000002</v>
      </c>
      <c r="X17" s="1">
        <f>'JavaScript Pivot'!M19</f>
        <v>0.22489999999999999</v>
      </c>
      <c r="Y17" s="1">
        <f>'JavaScript Pivot'!N19</f>
        <v>0.39350000000000002</v>
      </c>
      <c r="Z17">
        <f>'JavaScript Pivot'!Q19</f>
        <v>0.29039999999999999</v>
      </c>
      <c r="AA17">
        <f>'JavaScript Pivot'!R19</f>
        <v>0.43630000000000002</v>
      </c>
      <c r="AB17">
        <f>'JavaScript Pivot'!U19</f>
        <v>0.55269999999999897</v>
      </c>
      <c r="AC17">
        <f>'JavaScript Pivot'!V19</f>
        <v>0.38579999999999998</v>
      </c>
      <c r="AF17" t="s">
        <v>51</v>
      </c>
      <c r="AG17" s="5">
        <v>0.38059999999999999</v>
      </c>
      <c r="AH17" s="5">
        <v>0.1009</v>
      </c>
      <c r="AI17" s="1">
        <v>0.13930000000000001</v>
      </c>
      <c r="AJ17" s="1">
        <v>0.1663</v>
      </c>
      <c r="AK17" s="5">
        <v>0.1187</v>
      </c>
      <c r="AL17" s="1">
        <v>0.17599999999999899</v>
      </c>
      <c r="AM17" s="1">
        <v>0.37230000000000002</v>
      </c>
      <c r="AN17" s="1">
        <v>0.22489999999999999</v>
      </c>
      <c r="AO17" s="1">
        <v>0.39350000000000002</v>
      </c>
      <c r="AP17" s="1">
        <v>0.29039999999999999</v>
      </c>
      <c r="AQ17" s="1">
        <v>0.43630000000000002</v>
      </c>
      <c r="AR17" s="1">
        <v>0.55269999999999897</v>
      </c>
      <c r="AS17" s="1">
        <v>0.38579999999999998</v>
      </c>
    </row>
    <row r="18" spans="1:45" x14ac:dyDescent="0.25">
      <c r="A18" t="str">
        <f>'Python Pivot'!B20</f>
        <v>qwen2.5-coder-14b</v>
      </c>
      <c r="B18">
        <f>'Python Pivot'!C20</f>
        <v>0</v>
      </c>
      <c r="C18">
        <f>'Python Pivot'!D20</f>
        <v>0</v>
      </c>
      <c r="D18">
        <f>'Python Pivot'!E20</f>
        <v>0</v>
      </c>
      <c r="E18">
        <f>'Python Pivot'!F20</f>
        <v>0</v>
      </c>
      <c r="F18">
        <f>'Python Pivot'!H20</f>
        <v>0</v>
      </c>
      <c r="G18">
        <f>'Python Pivot'!I20</f>
        <v>0</v>
      </c>
      <c r="H18">
        <f>'Python Pivot'!J20</f>
        <v>0</v>
      </c>
      <c r="I18">
        <f>'Python Pivot'!M20</f>
        <v>0</v>
      </c>
      <c r="J18">
        <f>'Python Pivot'!N20</f>
        <v>0</v>
      </c>
      <c r="K18">
        <f>'Python Pivot'!Q20</f>
        <v>0</v>
      </c>
      <c r="L18">
        <f>'Python Pivot'!R20</f>
        <v>0</v>
      </c>
      <c r="M18">
        <f>'Python Pivot'!U20</f>
        <v>2.1000000000000001E-2</v>
      </c>
      <c r="N18">
        <f>'Python Pivot'!V20</f>
        <v>3.7600000000000001E-2</v>
      </c>
      <c r="P18" t="str">
        <f>'JavaScript Pivot'!B20</f>
        <v>qwen2.5-coder-14b</v>
      </c>
      <c r="Q18" s="5">
        <f>'JavaScript Pivot'!C20</f>
        <v>0</v>
      </c>
      <c r="R18" s="5">
        <f>'JavaScript Pivot'!D20</f>
        <v>0</v>
      </c>
      <c r="S18" s="1">
        <f>'JavaScript Pivot'!E20</f>
        <v>0</v>
      </c>
      <c r="T18" s="1">
        <f>'JavaScript Pivot'!F20</f>
        <v>0</v>
      </c>
      <c r="U18" s="1">
        <f>'JavaScript Pivot'!H20</f>
        <v>0</v>
      </c>
      <c r="V18" s="1">
        <f>'JavaScript Pivot'!I20</f>
        <v>0</v>
      </c>
      <c r="W18" s="1">
        <f>'JavaScript Pivot'!J20</f>
        <v>0</v>
      </c>
      <c r="X18" s="1">
        <f>'JavaScript Pivot'!M20</f>
        <v>0</v>
      </c>
      <c r="Y18" s="1">
        <f>'JavaScript Pivot'!N20</f>
        <v>0</v>
      </c>
      <c r="Z18">
        <f>'JavaScript Pivot'!Q20</f>
        <v>0</v>
      </c>
      <c r="AA18">
        <f>'JavaScript Pivot'!R20</f>
        <v>0</v>
      </c>
      <c r="AB18">
        <f>'JavaScript Pivot'!U20</f>
        <v>0.35670000000000002</v>
      </c>
      <c r="AC18">
        <f>'JavaScript Pivot'!V20</f>
        <v>0.33239999999999897</v>
      </c>
      <c r="AF18" t="s">
        <v>57</v>
      </c>
      <c r="AG18" s="5"/>
      <c r="AH18" s="5"/>
      <c r="AI18" s="1"/>
      <c r="AJ18" s="1"/>
      <c r="AK18" s="5"/>
      <c r="AL18" s="1"/>
      <c r="AM18" s="1"/>
      <c r="AN18" s="1"/>
      <c r="AO18" s="1"/>
      <c r="AP18" s="1"/>
      <c r="AQ18" s="1"/>
      <c r="AR18" s="1">
        <v>0.35670000000000002</v>
      </c>
      <c r="AS18" s="1">
        <v>0.33239999999999897</v>
      </c>
    </row>
    <row r="19" spans="1:45" x14ac:dyDescent="0.25">
      <c r="A19" t="str">
        <f>'Python Pivot'!B21</f>
        <v>qwen2.5-coder-32b</v>
      </c>
      <c r="B19">
        <f>'Python Pivot'!C21</f>
        <v>0</v>
      </c>
      <c r="C19">
        <f>'Python Pivot'!D21</f>
        <v>0</v>
      </c>
      <c r="D19">
        <f>'Python Pivot'!E21</f>
        <v>0</v>
      </c>
      <c r="E19">
        <f>'Python Pivot'!F21</f>
        <v>0</v>
      </c>
      <c r="F19">
        <f>'Python Pivot'!H21</f>
        <v>0</v>
      </c>
      <c r="G19">
        <f>'Python Pivot'!I21</f>
        <v>0</v>
      </c>
      <c r="H19">
        <f>'Python Pivot'!J21</f>
        <v>0</v>
      </c>
      <c r="I19">
        <f>'Python Pivot'!M21</f>
        <v>0</v>
      </c>
      <c r="J19">
        <f>'Python Pivot'!N21</f>
        <v>0</v>
      </c>
      <c r="K19">
        <f>'Python Pivot'!Q21</f>
        <v>0</v>
      </c>
      <c r="L19">
        <f>'Python Pivot'!R21</f>
        <v>0</v>
      </c>
      <c r="M19">
        <f>'Python Pivot'!U21</f>
        <v>0.42059999999999897</v>
      </c>
      <c r="N19">
        <f>'Python Pivot'!V21</f>
        <v>0.30590000000000001</v>
      </c>
      <c r="P19" t="str">
        <f>'JavaScript Pivot'!B21</f>
        <v>qwen2.5-coder-32b</v>
      </c>
      <c r="Q19" s="5">
        <f>'JavaScript Pivot'!C21</f>
        <v>0</v>
      </c>
      <c r="R19" s="5">
        <f>'JavaScript Pivot'!D21</f>
        <v>0</v>
      </c>
      <c r="S19" s="1">
        <f>'JavaScript Pivot'!E21</f>
        <v>0</v>
      </c>
      <c r="T19" s="1">
        <f>'JavaScript Pivot'!F21</f>
        <v>0</v>
      </c>
      <c r="U19" s="1">
        <f>'JavaScript Pivot'!H21</f>
        <v>0</v>
      </c>
      <c r="V19" s="1">
        <f>'JavaScript Pivot'!I21</f>
        <v>0</v>
      </c>
      <c r="W19" s="1">
        <f>'JavaScript Pivot'!J21</f>
        <v>0</v>
      </c>
      <c r="X19" s="1">
        <f>'JavaScript Pivot'!M21</f>
        <v>0</v>
      </c>
      <c r="Y19" s="1">
        <f>'JavaScript Pivot'!N21</f>
        <v>0</v>
      </c>
      <c r="Z19">
        <f>'JavaScript Pivot'!Q21</f>
        <v>0</v>
      </c>
      <c r="AA19">
        <f>'JavaScript Pivot'!R21</f>
        <v>0</v>
      </c>
      <c r="AB19">
        <f>'JavaScript Pivot'!U21</f>
        <v>0.43759999999999999</v>
      </c>
      <c r="AC19">
        <f>'JavaScript Pivot'!V21</f>
        <v>0.38440000000000002</v>
      </c>
      <c r="AF19" t="s">
        <v>59</v>
      </c>
      <c r="AG19" s="5"/>
      <c r="AH19" s="5"/>
      <c r="AI19" s="1"/>
      <c r="AJ19" s="1"/>
      <c r="AK19" s="5"/>
      <c r="AL19" s="1"/>
      <c r="AM19" s="1"/>
      <c r="AN19" s="1"/>
      <c r="AO19" s="1"/>
      <c r="AP19" s="1"/>
      <c r="AQ19" s="1"/>
      <c r="AR19" s="1">
        <v>0.43759999999999999</v>
      </c>
      <c r="AS19" s="1">
        <v>0.38440000000000002</v>
      </c>
    </row>
    <row r="20" spans="1:45" x14ac:dyDescent="0.25">
      <c r="A20" t="str">
        <f>'Python Pivot'!B22</f>
        <v>qwen3-14b</v>
      </c>
      <c r="B20">
        <f>'Python Pivot'!C22</f>
        <v>0.3866</v>
      </c>
      <c r="C20">
        <f>'Python Pivot'!D22</f>
        <v>0.10390000000000001</v>
      </c>
      <c r="D20">
        <f>'Python Pivot'!E22</f>
        <v>0.1789</v>
      </c>
      <c r="E20">
        <f>'Python Pivot'!F22</f>
        <v>0.16539999999999999</v>
      </c>
      <c r="F20">
        <f>'Python Pivot'!H22</f>
        <v>0.1704</v>
      </c>
      <c r="G20">
        <f>'Python Pivot'!I22</f>
        <v>0.20100000000000001</v>
      </c>
      <c r="H20">
        <f>'Python Pivot'!J22</f>
        <v>0.28189999999999898</v>
      </c>
      <c r="I20">
        <f>'Python Pivot'!M22</f>
        <v>0.1971</v>
      </c>
      <c r="J20">
        <f>'Python Pivot'!N22</f>
        <v>0.26019999999999999</v>
      </c>
      <c r="K20">
        <f>'Python Pivot'!Q22</f>
        <v>0.26190000000000002</v>
      </c>
      <c r="L20">
        <f>'Python Pivot'!R22</f>
        <v>0.39379999999999898</v>
      </c>
      <c r="M20">
        <f>'Python Pivot'!U22</f>
        <v>0.4541</v>
      </c>
      <c r="N20">
        <f>'Python Pivot'!V22</f>
        <v>0.37280000000000002</v>
      </c>
      <c r="P20" t="str">
        <f>'JavaScript Pivot'!B22</f>
        <v>qwen3-14b</v>
      </c>
      <c r="Q20" s="5">
        <f>'JavaScript Pivot'!C22</f>
        <v>0.57640000000000002</v>
      </c>
      <c r="R20" s="5">
        <f>'JavaScript Pivot'!D22</f>
        <v>0.176699999999999</v>
      </c>
      <c r="S20" s="1">
        <f>'JavaScript Pivot'!E22</f>
        <v>0.1971</v>
      </c>
      <c r="T20" s="1">
        <f>'JavaScript Pivot'!F22</f>
        <v>0.34489999999999899</v>
      </c>
      <c r="U20" s="1">
        <f>'JavaScript Pivot'!H22</f>
        <v>0.19350000000000001</v>
      </c>
      <c r="V20" s="1">
        <f>'JavaScript Pivot'!I22</f>
        <v>0.1477</v>
      </c>
      <c r="W20" s="1">
        <f>'JavaScript Pivot'!J22</f>
        <v>0.22600000000000001</v>
      </c>
      <c r="X20" s="1">
        <f>'JavaScript Pivot'!M22</f>
        <v>0.11210000000000001</v>
      </c>
      <c r="Y20" s="1">
        <f>'JavaScript Pivot'!N22</f>
        <v>0.1676</v>
      </c>
      <c r="Z20">
        <f>'JavaScript Pivot'!Q22</f>
        <v>5.9799999999999902E-2</v>
      </c>
      <c r="AA20">
        <f>'JavaScript Pivot'!R22</f>
        <v>0.14630000000000001</v>
      </c>
      <c r="AB20">
        <f>'JavaScript Pivot'!U22</f>
        <v>0.2843</v>
      </c>
      <c r="AC20">
        <f>'JavaScript Pivot'!V22</f>
        <v>0.2243</v>
      </c>
      <c r="AF20" t="s">
        <v>61</v>
      </c>
      <c r="AG20" s="5">
        <v>0.57640000000000002</v>
      </c>
      <c r="AH20" s="5">
        <v>0.176699999999999</v>
      </c>
      <c r="AI20" s="1">
        <v>0.1971</v>
      </c>
      <c r="AJ20" s="1">
        <v>0.34489999999999899</v>
      </c>
      <c r="AK20" s="5">
        <v>0.19350000000000001</v>
      </c>
      <c r="AL20" s="1">
        <v>0.1477</v>
      </c>
      <c r="AM20" s="1">
        <v>0.22600000000000001</v>
      </c>
      <c r="AN20" s="1">
        <v>0.11210000000000001</v>
      </c>
      <c r="AO20" s="1">
        <v>0.1676</v>
      </c>
      <c r="AP20" s="1">
        <v>5.9799999999999902E-2</v>
      </c>
      <c r="AQ20" s="1">
        <v>0.14630000000000001</v>
      </c>
      <c r="AR20" s="1">
        <v>0.2843</v>
      </c>
      <c r="AS20" s="1">
        <v>0.2243</v>
      </c>
    </row>
    <row r="21" spans="1:45" x14ac:dyDescent="0.25">
      <c r="A21" t="str">
        <f>'Python Pivot'!B23</f>
        <v>qwen3-30b</v>
      </c>
      <c r="B21">
        <f>'Python Pivot'!C23</f>
        <v>0.37790000000000001</v>
      </c>
      <c r="C21">
        <f>'Python Pivot'!D23</f>
        <v>0.14940000000000001</v>
      </c>
      <c r="D21">
        <f>'Python Pivot'!E23</f>
        <v>0.17630000000000001</v>
      </c>
      <c r="E21">
        <f>'Python Pivot'!F23</f>
        <v>0.13150000000000001</v>
      </c>
      <c r="F21">
        <f>'Python Pivot'!H23</f>
        <v>0.16520000000000001</v>
      </c>
      <c r="G21">
        <f>'Python Pivot'!I23</f>
        <v>0.27100000000000002</v>
      </c>
      <c r="H21">
        <f>'Python Pivot'!J23</f>
        <v>0.186</v>
      </c>
      <c r="I21">
        <f>'Python Pivot'!M23</f>
        <v>0.1971</v>
      </c>
      <c r="J21">
        <f>'Python Pivot'!N23</f>
        <v>0.1653</v>
      </c>
      <c r="K21">
        <f>'Python Pivot'!Q23</f>
        <v>0.1827</v>
      </c>
      <c r="L21">
        <f>'Python Pivot'!R23</f>
        <v>0.1545</v>
      </c>
      <c r="M21">
        <f>'Python Pivot'!U23</f>
        <v>0.51859999999999895</v>
      </c>
      <c r="N21">
        <f>'Python Pivot'!V23</f>
        <v>0.26500000000000001</v>
      </c>
      <c r="P21" t="str">
        <f>'JavaScript Pivot'!B23</f>
        <v>qwen3-30b</v>
      </c>
      <c r="Q21" s="5">
        <f>'JavaScript Pivot'!C23</f>
        <v>0.3589</v>
      </c>
      <c r="R21" s="5">
        <f>'JavaScript Pivot'!D23</f>
        <v>0.1391</v>
      </c>
      <c r="S21" s="1">
        <f>'JavaScript Pivot'!E23</f>
        <v>0.1391</v>
      </c>
      <c r="T21" s="1">
        <f>'JavaScript Pivot'!F23</f>
        <v>0.33090000000000003</v>
      </c>
      <c r="U21" s="1">
        <f>'JavaScript Pivot'!H23</f>
        <v>0.1734</v>
      </c>
      <c r="V21" s="1">
        <f>'JavaScript Pivot'!I23</f>
        <v>0.20599999999999899</v>
      </c>
      <c r="W21" s="1">
        <f>'JavaScript Pivot'!J23</f>
        <v>0.31809999999999999</v>
      </c>
      <c r="X21" s="1">
        <f>'JavaScript Pivot'!M23</f>
        <v>8.48E-2</v>
      </c>
      <c r="Y21" s="1">
        <f>'JavaScript Pivot'!N23</f>
        <v>0.28249999999999897</v>
      </c>
      <c r="Z21">
        <f>'JavaScript Pivot'!Q23</f>
        <v>0.1283</v>
      </c>
      <c r="AA21">
        <f>'JavaScript Pivot'!R23</f>
        <v>0.20930000000000001</v>
      </c>
      <c r="AB21">
        <f>'JavaScript Pivot'!U23</f>
        <v>0.43219999999999997</v>
      </c>
      <c r="AC21">
        <f>'JavaScript Pivot'!V23</f>
        <v>0.22919999999999899</v>
      </c>
      <c r="AF21" t="s">
        <v>67</v>
      </c>
      <c r="AG21" s="5">
        <v>0.3589</v>
      </c>
      <c r="AH21" s="5">
        <v>0.1391</v>
      </c>
      <c r="AI21" s="1">
        <v>0.1391</v>
      </c>
      <c r="AJ21" s="1">
        <v>0.33090000000000003</v>
      </c>
      <c r="AK21" s="5">
        <v>0.1734</v>
      </c>
      <c r="AL21" s="1">
        <v>0.20599999999999899</v>
      </c>
      <c r="AM21" s="1">
        <v>0.31809999999999999</v>
      </c>
      <c r="AN21" s="1">
        <v>8.48E-2</v>
      </c>
      <c r="AO21" s="1">
        <v>0.28249999999999897</v>
      </c>
      <c r="AP21" s="1">
        <v>0.1283</v>
      </c>
      <c r="AQ21" s="1">
        <v>0.20930000000000001</v>
      </c>
      <c r="AR21" s="1">
        <v>0.43219999999999997</v>
      </c>
      <c r="AS21" s="1">
        <v>0.22919999999999899</v>
      </c>
    </row>
    <row r="32" spans="1:45" x14ac:dyDescent="0.25">
      <c r="A32" t="s">
        <v>194</v>
      </c>
      <c r="B32">
        <f>(B4+Q4+AG4)/3</f>
        <v>0.60980000000000001</v>
      </c>
      <c r="C32">
        <f t="shared" ref="C32:N32" si="0">(C4+R4+AH4)/3</f>
        <v>0.27009999999999973</v>
      </c>
      <c r="D32">
        <f t="shared" si="0"/>
        <v>0.29663333333333336</v>
      </c>
      <c r="E32">
        <f t="shared" si="0"/>
        <v>0.32763333333333333</v>
      </c>
      <c r="F32">
        <f t="shared" si="0"/>
        <v>0.35000000000000003</v>
      </c>
      <c r="G32">
        <f t="shared" si="0"/>
        <v>0.31743333333333329</v>
      </c>
      <c r="H32">
        <f t="shared" si="0"/>
        <v>0.37906666666666666</v>
      </c>
      <c r="I32">
        <f t="shared" si="0"/>
        <v>0.29453333333333337</v>
      </c>
      <c r="J32">
        <f t="shared" si="0"/>
        <v>0.28803333333333264</v>
      </c>
      <c r="K32">
        <f t="shared" si="0"/>
        <v>0.36726666666666663</v>
      </c>
      <c r="L32">
        <f t="shared" si="0"/>
        <v>0.38169999999999998</v>
      </c>
      <c r="M32">
        <f t="shared" si="0"/>
        <v>0.55396666666666661</v>
      </c>
      <c r="N32">
        <f t="shared" si="0"/>
        <v>0.54893333333333338</v>
      </c>
    </row>
    <row r="33" spans="1:14" x14ac:dyDescent="0.25">
      <c r="A33" t="s">
        <v>147</v>
      </c>
      <c r="B33">
        <f t="shared" ref="B33:B49" si="1">(B5+Q5+AG5)/3</f>
        <v>0.47149999999999997</v>
      </c>
      <c r="C33">
        <f t="shared" ref="C33:C49" si="2">(C5+R5+AH5)/3</f>
        <v>0.10583333333333333</v>
      </c>
      <c r="D33">
        <f t="shared" ref="D33:D49" si="3">(D5+S5+AI5)/3</f>
        <v>0.12689999999999999</v>
      </c>
      <c r="E33">
        <f t="shared" ref="E33:E49" si="4">(E5+T5+AJ5)/3</f>
        <v>0.48793333333333305</v>
      </c>
      <c r="F33">
        <f t="shared" ref="F33:F49" si="5">(F5+U5+AK5)/3</f>
        <v>0.11603333333333334</v>
      </c>
      <c r="G33">
        <f t="shared" ref="G33:G49" si="6">(G5+V5+AL5)/3</f>
        <v>0.12973333333333334</v>
      </c>
      <c r="H33">
        <f t="shared" ref="H33:H49" si="7">(H5+W5+AM5)/3</f>
        <v>0.50390000000000013</v>
      </c>
      <c r="I33">
        <f t="shared" ref="I33:I49" si="8">(I5+X5+AN5)/3</f>
        <v>0.13033333333333333</v>
      </c>
      <c r="J33">
        <f t="shared" ref="J33:J49" si="9">(J5+Y5+AO5)/3</f>
        <v>0.4582</v>
      </c>
      <c r="K33">
        <f t="shared" ref="K33:K49" si="10">(K5+Z5+AP5)/3</f>
        <v>0.19953333333333331</v>
      </c>
      <c r="L33">
        <f t="shared" ref="L33:L49" si="11">(L5+AA5+AQ5)/3</f>
        <v>0.48516666666666658</v>
      </c>
      <c r="M33">
        <f t="shared" ref="M33:M49" si="12">(M5+AB5+AR5)/3</f>
        <v>0.43780000000000002</v>
      </c>
      <c r="N33">
        <f t="shared" ref="N33:N49" si="13">(N5+AC5+AS5)/3</f>
        <v>0.46049999999999996</v>
      </c>
    </row>
    <row r="34" spans="1:14" x14ac:dyDescent="0.25">
      <c r="A34" t="s">
        <v>148</v>
      </c>
      <c r="B34">
        <f t="shared" si="1"/>
        <v>0.64256666666666673</v>
      </c>
      <c r="C34">
        <f t="shared" si="2"/>
        <v>0.3460666666666663</v>
      </c>
      <c r="D34">
        <f t="shared" si="3"/>
        <v>0.35093333333333265</v>
      </c>
      <c r="E34">
        <f t="shared" si="4"/>
        <v>0.42759999999999998</v>
      </c>
      <c r="F34">
        <f t="shared" si="5"/>
        <v>0.35723333333333329</v>
      </c>
      <c r="G34">
        <f t="shared" si="6"/>
        <v>0.3738333333333333</v>
      </c>
      <c r="H34">
        <f t="shared" si="7"/>
        <v>0.56833333333333336</v>
      </c>
      <c r="I34">
        <f t="shared" si="8"/>
        <v>0.31960000000000005</v>
      </c>
      <c r="J34">
        <f t="shared" si="9"/>
        <v>0.42836666666666595</v>
      </c>
      <c r="K34">
        <f t="shared" si="10"/>
        <v>0.38596666666666674</v>
      </c>
      <c r="L34">
        <f t="shared" si="11"/>
        <v>0.5248666666666667</v>
      </c>
      <c r="M34">
        <f t="shared" si="12"/>
        <v>0.56769999999999932</v>
      </c>
      <c r="N34">
        <f t="shared" si="13"/>
        <v>0.60863333333333325</v>
      </c>
    </row>
    <row r="35" spans="1:14" x14ac:dyDescent="0.25">
      <c r="A35" t="s">
        <v>161</v>
      </c>
      <c r="B35">
        <f t="shared" si="1"/>
        <v>0</v>
      </c>
      <c r="C35">
        <f t="shared" si="2"/>
        <v>0</v>
      </c>
      <c r="D35">
        <f t="shared" si="3"/>
        <v>0</v>
      </c>
      <c r="E35">
        <f t="shared" si="4"/>
        <v>0</v>
      </c>
      <c r="F35">
        <f t="shared" si="5"/>
        <v>0</v>
      </c>
      <c r="G35">
        <f t="shared" si="6"/>
        <v>0</v>
      </c>
      <c r="H35">
        <f t="shared" si="7"/>
        <v>0</v>
      </c>
      <c r="I35">
        <f t="shared" si="8"/>
        <v>0</v>
      </c>
      <c r="J35">
        <f t="shared" si="9"/>
        <v>0</v>
      </c>
      <c r="K35">
        <f t="shared" si="10"/>
        <v>0</v>
      </c>
      <c r="L35">
        <f t="shared" si="11"/>
        <v>0</v>
      </c>
      <c r="M35">
        <f t="shared" si="12"/>
        <v>8.3000000000000004E-2</v>
      </c>
      <c r="N35">
        <f t="shared" si="13"/>
        <v>9.4066666666666673E-2</v>
      </c>
    </row>
    <row r="36" spans="1:14" x14ac:dyDescent="0.25">
      <c r="A36" t="s">
        <v>162</v>
      </c>
      <c r="B36">
        <f t="shared" si="1"/>
        <v>0</v>
      </c>
      <c r="C36">
        <f t="shared" si="2"/>
        <v>0</v>
      </c>
      <c r="D36">
        <f t="shared" si="3"/>
        <v>0</v>
      </c>
      <c r="E36">
        <f t="shared" si="4"/>
        <v>0</v>
      </c>
      <c r="F36">
        <f t="shared" si="5"/>
        <v>0</v>
      </c>
      <c r="G36">
        <f t="shared" si="6"/>
        <v>0</v>
      </c>
      <c r="H36">
        <f t="shared" si="7"/>
        <v>0</v>
      </c>
      <c r="I36">
        <f t="shared" si="8"/>
        <v>0</v>
      </c>
      <c r="J36">
        <f t="shared" si="9"/>
        <v>0</v>
      </c>
      <c r="K36">
        <f t="shared" si="10"/>
        <v>0</v>
      </c>
      <c r="L36">
        <f t="shared" si="11"/>
        <v>0</v>
      </c>
      <c r="M36">
        <f t="shared" si="12"/>
        <v>5.0766666666666675E-2</v>
      </c>
      <c r="N36">
        <f t="shared" si="13"/>
        <v>1.6599999999999934E-2</v>
      </c>
    </row>
    <row r="37" spans="1:14" x14ac:dyDescent="0.25">
      <c r="A37" t="s">
        <v>163</v>
      </c>
      <c r="B37">
        <f t="shared" si="1"/>
        <v>0</v>
      </c>
      <c r="C37">
        <f t="shared" si="2"/>
        <v>0</v>
      </c>
      <c r="D37">
        <f t="shared" si="3"/>
        <v>0</v>
      </c>
      <c r="E37">
        <f t="shared" si="4"/>
        <v>0</v>
      </c>
      <c r="F37">
        <f t="shared" si="5"/>
        <v>0</v>
      </c>
      <c r="G37">
        <f t="shared" si="6"/>
        <v>0</v>
      </c>
      <c r="H37">
        <f t="shared" si="7"/>
        <v>0</v>
      </c>
      <c r="I37">
        <f t="shared" si="8"/>
        <v>0</v>
      </c>
      <c r="J37">
        <f t="shared" si="9"/>
        <v>0</v>
      </c>
      <c r="K37">
        <f t="shared" si="10"/>
        <v>0</v>
      </c>
      <c r="L37">
        <f t="shared" si="11"/>
        <v>0</v>
      </c>
      <c r="M37">
        <f t="shared" si="12"/>
        <v>0</v>
      </c>
      <c r="N37">
        <f t="shared" si="13"/>
        <v>0</v>
      </c>
    </row>
    <row r="38" spans="1:14" x14ac:dyDescent="0.25">
      <c r="A38" t="s">
        <v>165</v>
      </c>
      <c r="B38">
        <f t="shared" si="1"/>
        <v>0</v>
      </c>
      <c r="C38">
        <f t="shared" si="2"/>
        <v>0</v>
      </c>
      <c r="D38">
        <f t="shared" si="3"/>
        <v>0</v>
      </c>
      <c r="E38">
        <f t="shared" si="4"/>
        <v>0</v>
      </c>
      <c r="F38">
        <f t="shared" si="5"/>
        <v>0</v>
      </c>
      <c r="G38">
        <f t="shared" si="6"/>
        <v>0</v>
      </c>
      <c r="H38">
        <f t="shared" si="7"/>
        <v>0</v>
      </c>
      <c r="I38">
        <f t="shared" si="8"/>
        <v>0</v>
      </c>
      <c r="J38">
        <f t="shared" si="9"/>
        <v>0</v>
      </c>
      <c r="K38">
        <f t="shared" si="10"/>
        <v>0</v>
      </c>
      <c r="L38">
        <f t="shared" si="11"/>
        <v>0</v>
      </c>
      <c r="M38">
        <f t="shared" si="12"/>
        <v>0.2392</v>
      </c>
      <c r="N38">
        <f t="shared" si="13"/>
        <v>7.2333333333333333E-2</v>
      </c>
    </row>
    <row r="39" spans="1:14" x14ac:dyDescent="0.25">
      <c r="A39" t="s">
        <v>164</v>
      </c>
      <c r="B39">
        <f t="shared" si="1"/>
        <v>0</v>
      </c>
      <c r="C39">
        <f t="shared" si="2"/>
        <v>0</v>
      </c>
      <c r="D39">
        <f t="shared" si="3"/>
        <v>0</v>
      </c>
      <c r="E39">
        <f t="shared" si="4"/>
        <v>0</v>
      </c>
      <c r="F39">
        <f t="shared" si="5"/>
        <v>0</v>
      </c>
      <c r="G39">
        <f t="shared" si="6"/>
        <v>0</v>
      </c>
      <c r="H39">
        <f t="shared" si="7"/>
        <v>0</v>
      </c>
      <c r="I39">
        <f t="shared" si="8"/>
        <v>0</v>
      </c>
      <c r="J39">
        <f t="shared" si="9"/>
        <v>0</v>
      </c>
      <c r="K39">
        <f t="shared" si="10"/>
        <v>0</v>
      </c>
      <c r="L39">
        <f t="shared" si="11"/>
        <v>0</v>
      </c>
      <c r="M39">
        <f t="shared" si="12"/>
        <v>0.2137</v>
      </c>
      <c r="N39">
        <f t="shared" si="13"/>
        <v>8.5666666666666634E-3</v>
      </c>
    </row>
    <row r="40" spans="1:14" x14ac:dyDescent="0.25">
      <c r="A40" t="s">
        <v>151</v>
      </c>
      <c r="B40">
        <f t="shared" si="1"/>
        <v>0.62053333333333338</v>
      </c>
      <c r="C40">
        <f t="shared" si="2"/>
        <v>0.19620000000000001</v>
      </c>
      <c r="D40">
        <f t="shared" si="3"/>
        <v>0.2010666666666667</v>
      </c>
      <c r="E40">
        <f t="shared" si="4"/>
        <v>0.42566666666666664</v>
      </c>
      <c r="F40">
        <f t="shared" si="5"/>
        <v>0.21426666666666669</v>
      </c>
      <c r="G40">
        <f t="shared" si="6"/>
        <v>0.16290000000000002</v>
      </c>
      <c r="H40">
        <f t="shared" si="7"/>
        <v>0.31926666666666664</v>
      </c>
      <c r="I40">
        <f t="shared" si="8"/>
        <v>0.1608</v>
      </c>
      <c r="J40">
        <f t="shared" si="9"/>
        <v>0.30986666666666668</v>
      </c>
      <c r="K40">
        <f t="shared" si="10"/>
        <v>0.1345666666666667</v>
      </c>
      <c r="L40">
        <f t="shared" si="11"/>
        <v>0.26989999999999997</v>
      </c>
      <c r="M40">
        <f t="shared" si="12"/>
        <v>0.36293333333333305</v>
      </c>
      <c r="N40">
        <f t="shared" si="13"/>
        <v>0.32490000000000002</v>
      </c>
    </row>
    <row r="41" spans="1:14" x14ac:dyDescent="0.25">
      <c r="A41" t="s">
        <v>152</v>
      </c>
      <c r="B41">
        <f t="shared" si="1"/>
        <v>0.63153333333333339</v>
      </c>
      <c r="C41">
        <f t="shared" si="2"/>
        <v>0.19876666666666665</v>
      </c>
      <c r="D41">
        <f t="shared" si="3"/>
        <v>0.20513333333333297</v>
      </c>
      <c r="E41">
        <f t="shared" si="4"/>
        <v>0.41613333333333297</v>
      </c>
      <c r="F41">
        <f t="shared" si="5"/>
        <v>0.20963333333333334</v>
      </c>
      <c r="G41">
        <f t="shared" si="6"/>
        <v>0.21736666666666668</v>
      </c>
      <c r="H41">
        <f t="shared" si="7"/>
        <v>0.4173</v>
      </c>
      <c r="I41">
        <f t="shared" si="8"/>
        <v>0.25386666666666663</v>
      </c>
      <c r="J41">
        <f t="shared" si="9"/>
        <v>0.47803333333333331</v>
      </c>
      <c r="K41">
        <f t="shared" si="10"/>
        <v>0.27986666666666665</v>
      </c>
      <c r="L41">
        <f t="shared" si="11"/>
        <v>0.45789999999999997</v>
      </c>
      <c r="M41">
        <f t="shared" si="12"/>
        <v>0.50290000000000001</v>
      </c>
      <c r="N41">
        <f t="shared" si="13"/>
        <v>0.43183333333333335</v>
      </c>
    </row>
    <row r="42" spans="1:14" x14ac:dyDescent="0.25">
      <c r="A42" t="s">
        <v>150</v>
      </c>
      <c r="B42">
        <f t="shared" si="1"/>
        <v>0.55963333333333309</v>
      </c>
      <c r="C42">
        <f t="shared" si="2"/>
        <v>0.14883333333333335</v>
      </c>
      <c r="D42">
        <f t="shared" si="3"/>
        <v>0.22840000000000002</v>
      </c>
      <c r="E42">
        <f t="shared" si="4"/>
        <v>0.40660000000000002</v>
      </c>
      <c r="F42">
        <f t="shared" si="5"/>
        <v>0.17503333333333262</v>
      </c>
      <c r="G42">
        <f t="shared" si="6"/>
        <v>0.22696666666666565</v>
      </c>
      <c r="H42">
        <f t="shared" si="7"/>
        <v>0.27363333333333334</v>
      </c>
      <c r="I42">
        <f t="shared" si="8"/>
        <v>0.20120000000000002</v>
      </c>
      <c r="J42">
        <f t="shared" si="9"/>
        <v>0.26596666666666663</v>
      </c>
      <c r="K42">
        <f t="shared" si="10"/>
        <v>0.28186666666666671</v>
      </c>
      <c r="L42">
        <f t="shared" si="11"/>
        <v>0.32796666666666668</v>
      </c>
      <c r="M42">
        <f t="shared" si="12"/>
        <v>0.43026666666666596</v>
      </c>
      <c r="N42">
        <f t="shared" si="13"/>
        <v>0.28033333333333332</v>
      </c>
    </row>
    <row r="43" spans="1:14" x14ac:dyDescent="0.25">
      <c r="A43" t="s">
        <v>155</v>
      </c>
      <c r="B43">
        <f t="shared" si="1"/>
        <v>4.9700000000000001E-2</v>
      </c>
      <c r="C43">
        <f t="shared" si="2"/>
        <v>3.9099999999999996E-2</v>
      </c>
      <c r="D43">
        <f t="shared" si="3"/>
        <v>7.9366666666666627E-2</v>
      </c>
      <c r="E43">
        <f t="shared" si="4"/>
        <v>1.61E-2</v>
      </c>
      <c r="F43">
        <f t="shared" si="5"/>
        <v>3.9333333333333331E-2</v>
      </c>
      <c r="G43">
        <f t="shared" si="6"/>
        <v>8.7599999999999997E-2</v>
      </c>
      <c r="H43">
        <f t="shared" si="7"/>
        <v>4.99E-2</v>
      </c>
      <c r="I43">
        <f t="shared" si="8"/>
        <v>3.85E-2</v>
      </c>
      <c r="J43">
        <f t="shared" si="9"/>
        <v>0</v>
      </c>
      <c r="K43">
        <f t="shared" si="10"/>
        <v>0.11483333333333334</v>
      </c>
      <c r="L43">
        <f t="shared" si="11"/>
        <v>3.1466666666666664E-2</v>
      </c>
      <c r="M43">
        <f t="shared" si="12"/>
        <v>7.1900000000000006E-2</v>
      </c>
      <c r="N43">
        <f t="shared" si="13"/>
        <v>0</v>
      </c>
    </row>
    <row r="44" spans="1:14" x14ac:dyDescent="0.25">
      <c r="A44" t="s">
        <v>156</v>
      </c>
      <c r="B44">
        <f t="shared" si="1"/>
        <v>0.49313333333333298</v>
      </c>
      <c r="C44">
        <f t="shared" si="2"/>
        <v>0.1774</v>
      </c>
      <c r="D44">
        <f t="shared" si="3"/>
        <v>0.24260000000000001</v>
      </c>
      <c r="E44">
        <f t="shared" si="4"/>
        <v>0.43769999999999998</v>
      </c>
      <c r="F44">
        <f t="shared" si="5"/>
        <v>0.19846666666666665</v>
      </c>
      <c r="G44">
        <f t="shared" si="6"/>
        <v>0.27803333333333335</v>
      </c>
      <c r="H44">
        <f t="shared" si="7"/>
        <v>0.45150000000000001</v>
      </c>
      <c r="I44">
        <f t="shared" si="8"/>
        <v>0.25133333333333335</v>
      </c>
      <c r="J44">
        <f t="shared" si="9"/>
        <v>0.40949999999999998</v>
      </c>
      <c r="K44">
        <f t="shared" si="10"/>
        <v>0.26406666666666667</v>
      </c>
      <c r="L44">
        <f t="shared" si="11"/>
        <v>0.48459999999999998</v>
      </c>
      <c r="M44">
        <f t="shared" si="12"/>
        <v>0.43963333333333332</v>
      </c>
      <c r="N44">
        <f t="shared" si="13"/>
        <v>0.42646666666666594</v>
      </c>
    </row>
    <row r="45" spans="1:14" x14ac:dyDescent="0.25">
      <c r="A45" t="s">
        <v>157</v>
      </c>
      <c r="B45">
        <f t="shared" si="1"/>
        <v>0.44646666666666673</v>
      </c>
      <c r="C45">
        <f t="shared" si="2"/>
        <v>6.7266666666666669E-2</v>
      </c>
      <c r="D45">
        <f t="shared" si="3"/>
        <v>9.2866666666666667E-2</v>
      </c>
      <c r="E45">
        <f t="shared" si="4"/>
        <v>0.11086666666666667</v>
      </c>
      <c r="F45">
        <f t="shared" si="5"/>
        <v>8.883333333333332E-2</v>
      </c>
      <c r="G45">
        <f t="shared" si="6"/>
        <v>0.12669999999999934</v>
      </c>
      <c r="H45">
        <f t="shared" si="7"/>
        <v>0.2718666666666667</v>
      </c>
      <c r="I45">
        <f t="shared" si="8"/>
        <v>0.28106666666666669</v>
      </c>
      <c r="J45">
        <f t="shared" si="9"/>
        <v>0.40679999999999999</v>
      </c>
      <c r="K45">
        <f t="shared" si="10"/>
        <v>0.31423333333333331</v>
      </c>
      <c r="L45">
        <f t="shared" si="11"/>
        <v>0.44300000000000006</v>
      </c>
      <c r="M45">
        <f t="shared" si="12"/>
        <v>0.53873333333333262</v>
      </c>
      <c r="N45">
        <f t="shared" si="13"/>
        <v>0.4136333333333333</v>
      </c>
    </row>
    <row r="46" spans="1:14" x14ac:dyDescent="0.25">
      <c r="A46" t="s">
        <v>159</v>
      </c>
      <c r="B46">
        <f t="shared" si="1"/>
        <v>0</v>
      </c>
      <c r="C46">
        <f t="shared" si="2"/>
        <v>0</v>
      </c>
      <c r="D46">
        <f t="shared" si="3"/>
        <v>0</v>
      </c>
      <c r="E46">
        <f t="shared" si="4"/>
        <v>0</v>
      </c>
      <c r="F46">
        <f t="shared" si="5"/>
        <v>0</v>
      </c>
      <c r="G46">
        <f t="shared" si="6"/>
        <v>0</v>
      </c>
      <c r="H46">
        <f t="shared" si="7"/>
        <v>0</v>
      </c>
      <c r="I46">
        <f t="shared" si="8"/>
        <v>0</v>
      </c>
      <c r="J46">
        <f t="shared" si="9"/>
        <v>0</v>
      </c>
      <c r="K46">
        <f t="shared" si="10"/>
        <v>0</v>
      </c>
      <c r="L46">
        <f t="shared" si="11"/>
        <v>0</v>
      </c>
      <c r="M46">
        <f t="shared" si="12"/>
        <v>0.24480000000000002</v>
      </c>
      <c r="N46">
        <f t="shared" si="13"/>
        <v>0.23413333333333264</v>
      </c>
    </row>
    <row r="47" spans="1:14" x14ac:dyDescent="0.25">
      <c r="A47" t="s">
        <v>160</v>
      </c>
      <c r="B47">
        <f t="shared" si="1"/>
        <v>0</v>
      </c>
      <c r="C47">
        <f t="shared" si="2"/>
        <v>0</v>
      </c>
      <c r="D47">
        <f t="shared" si="3"/>
        <v>0</v>
      </c>
      <c r="E47">
        <f t="shared" si="4"/>
        <v>0</v>
      </c>
      <c r="F47">
        <f t="shared" si="5"/>
        <v>0</v>
      </c>
      <c r="G47">
        <f t="shared" si="6"/>
        <v>0</v>
      </c>
      <c r="H47">
        <f t="shared" si="7"/>
        <v>0</v>
      </c>
      <c r="I47">
        <f t="shared" si="8"/>
        <v>0</v>
      </c>
      <c r="J47">
        <f t="shared" si="9"/>
        <v>0</v>
      </c>
      <c r="K47">
        <f t="shared" si="10"/>
        <v>0</v>
      </c>
      <c r="L47">
        <f t="shared" si="11"/>
        <v>0</v>
      </c>
      <c r="M47">
        <f t="shared" si="12"/>
        <v>0.431933333333333</v>
      </c>
      <c r="N47">
        <f t="shared" si="13"/>
        <v>0.35823333333333335</v>
      </c>
    </row>
    <row r="48" spans="1:14" x14ac:dyDescent="0.25">
      <c r="A48" t="s">
        <v>153</v>
      </c>
      <c r="B48">
        <f t="shared" si="1"/>
        <v>0.51313333333333333</v>
      </c>
      <c r="C48">
        <f t="shared" si="2"/>
        <v>0.15243333333333267</v>
      </c>
      <c r="D48">
        <f t="shared" si="3"/>
        <v>0.19103333333333331</v>
      </c>
      <c r="E48">
        <f t="shared" si="4"/>
        <v>0.28506666666666597</v>
      </c>
      <c r="F48">
        <f t="shared" si="5"/>
        <v>0.18579999999999999</v>
      </c>
      <c r="G48">
        <f t="shared" si="6"/>
        <v>0.16546666666666668</v>
      </c>
      <c r="H48">
        <f t="shared" si="7"/>
        <v>0.24463333333333301</v>
      </c>
      <c r="I48">
        <f t="shared" si="8"/>
        <v>0.14043333333333333</v>
      </c>
      <c r="J48">
        <f t="shared" si="9"/>
        <v>0.19846666666666665</v>
      </c>
      <c r="K48">
        <f t="shared" si="10"/>
        <v>0.12716666666666662</v>
      </c>
      <c r="L48">
        <f t="shared" si="11"/>
        <v>0.22879999999999967</v>
      </c>
      <c r="M48">
        <f t="shared" si="12"/>
        <v>0.34089999999999998</v>
      </c>
      <c r="N48">
        <f t="shared" si="13"/>
        <v>0.27379999999999999</v>
      </c>
    </row>
    <row r="49" spans="1:14" x14ac:dyDescent="0.25">
      <c r="A49" t="s">
        <v>154</v>
      </c>
      <c r="B49">
        <f t="shared" si="1"/>
        <v>0.3652333333333333</v>
      </c>
      <c r="C49">
        <f t="shared" si="2"/>
        <v>0.14253333333333332</v>
      </c>
      <c r="D49">
        <f t="shared" si="3"/>
        <v>0.1515</v>
      </c>
      <c r="E49">
        <f t="shared" si="4"/>
        <v>0.26443333333333335</v>
      </c>
      <c r="F49">
        <f t="shared" si="5"/>
        <v>0.17066666666666666</v>
      </c>
      <c r="G49">
        <f t="shared" si="6"/>
        <v>0.22766666666666599</v>
      </c>
      <c r="H49">
        <f t="shared" si="7"/>
        <v>0.27406666666666668</v>
      </c>
      <c r="I49">
        <f t="shared" si="8"/>
        <v>0.12223333333333332</v>
      </c>
      <c r="J49">
        <f t="shared" si="9"/>
        <v>0.24343333333333264</v>
      </c>
      <c r="K49">
        <f t="shared" si="10"/>
        <v>0.14643333333333333</v>
      </c>
      <c r="L49">
        <f t="shared" si="11"/>
        <v>0.19103333333333336</v>
      </c>
      <c r="M49">
        <f t="shared" si="12"/>
        <v>0.46099999999999963</v>
      </c>
      <c r="N49">
        <f t="shared" si="13"/>
        <v>0.24113333333333264</v>
      </c>
    </row>
    <row r="50" spans="1:14" x14ac:dyDescent="0.25">
      <c r="A50" t="s">
        <v>272</v>
      </c>
      <c r="B50">
        <f>AVERAGE(B32:B34,B40:B45,B48:B49)</f>
        <v>0.49120303030303031</v>
      </c>
      <c r="C50">
        <f t="shared" ref="C50:N50" si="14">AVERAGE(C32:C34,C40:C45,C48:C49)</f>
        <v>0.16768484848484835</v>
      </c>
      <c r="D50">
        <f t="shared" si="14"/>
        <v>0.19694848484848473</v>
      </c>
      <c r="E50">
        <f t="shared" si="14"/>
        <v>0.32779393939393925</v>
      </c>
      <c r="F50">
        <f t="shared" si="14"/>
        <v>0.19139090909090903</v>
      </c>
      <c r="G50">
        <f t="shared" si="14"/>
        <v>0.21033636363636343</v>
      </c>
      <c r="H50">
        <f t="shared" si="14"/>
        <v>0.34122424242424243</v>
      </c>
      <c r="I50">
        <f t="shared" si="14"/>
        <v>0.19944545454545456</v>
      </c>
      <c r="J50">
        <f t="shared" si="14"/>
        <v>0.31696969696969673</v>
      </c>
      <c r="K50">
        <f t="shared" si="14"/>
        <v>0.23780000000000001</v>
      </c>
      <c r="L50">
        <f t="shared" si="14"/>
        <v>0.34785454545454542</v>
      </c>
      <c r="M50">
        <f>AVERAGE(M32:M49)</f>
        <v>0.33172962962962932</v>
      </c>
      <c r="N50">
        <f>AVERAGE(N32:N49)</f>
        <v>0.26633888888888879</v>
      </c>
    </row>
  </sheetData>
  <sortState xmlns:xlrd2="http://schemas.microsoft.com/office/spreadsheetml/2017/richdata2" ref="A35:A49">
    <sortCondition ref="A35:A4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AD4B-6670-49CD-8204-BACAF6733CAF}">
  <dimension ref="A3:Z24"/>
  <sheetViews>
    <sheetView workbookViewId="0">
      <selection activeCell="V23" sqref="B7:V23"/>
    </sheetView>
  </sheetViews>
  <sheetFormatPr defaultRowHeight="13.8" x14ac:dyDescent="0.25"/>
  <cols>
    <col min="1" max="2" width="18.109375" bestFit="1" customWidth="1"/>
    <col min="3" max="22" width="17.109375" bestFit="1" customWidth="1"/>
    <col min="23" max="24" width="19.44140625" bestFit="1" customWidth="1"/>
    <col min="25" max="25" width="16.21875" bestFit="1" customWidth="1"/>
    <col min="26" max="26" width="20.77734375" bestFit="1" customWidth="1"/>
    <col min="27" max="27" width="21.109375" bestFit="1" customWidth="1"/>
    <col min="28" max="28" width="17.88671875" bestFit="1" customWidth="1"/>
    <col min="29" max="29" width="22.44140625" bestFit="1" customWidth="1"/>
    <col min="30" max="31" width="19.44140625" bestFit="1" customWidth="1"/>
    <col min="32" max="32" width="16.21875" bestFit="1" customWidth="1"/>
    <col min="33" max="33" width="20.77734375" bestFit="1" customWidth="1"/>
  </cols>
  <sheetData>
    <row r="3" spans="1:26" x14ac:dyDescent="0.25">
      <c r="C3" s="2" t="s">
        <v>2</v>
      </c>
      <c r="D3" s="2" t="s">
        <v>4</v>
      </c>
      <c r="E3" s="2" t="s">
        <v>190</v>
      </c>
    </row>
    <row r="4" spans="1:26" x14ac:dyDescent="0.25">
      <c r="C4" t="s">
        <v>21</v>
      </c>
      <c r="K4" t="s">
        <v>11</v>
      </c>
      <c r="W4" t="s">
        <v>182</v>
      </c>
      <c r="X4" t="s">
        <v>184</v>
      </c>
      <c r="Y4" t="s">
        <v>186</v>
      </c>
      <c r="Z4" t="s">
        <v>188</v>
      </c>
    </row>
    <row r="5" spans="1:26" x14ac:dyDescent="0.25">
      <c r="C5">
        <v>1</v>
      </c>
      <c r="G5">
        <v>2</v>
      </c>
      <c r="K5">
        <v>1</v>
      </c>
      <c r="O5">
        <v>2</v>
      </c>
      <c r="S5">
        <v>3</v>
      </c>
    </row>
    <row r="6" spans="1:26" x14ac:dyDescent="0.25">
      <c r="A6" s="2" t="s">
        <v>191</v>
      </c>
      <c r="B6" s="2" t="s">
        <v>1</v>
      </c>
      <c r="C6" t="s">
        <v>183</v>
      </c>
      <c r="D6" t="s">
        <v>185</v>
      </c>
      <c r="E6" t="s">
        <v>187</v>
      </c>
      <c r="F6" t="s">
        <v>189</v>
      </c>
      <c r="G6" t="s">
        <v>183</v>
      </c>
      <c r="H6" t="s">
        <v>185</v>
      </c>
      <c r="I6" t="s">
        <v>187</v>
      </c>
      <c r="J6" t="s">
        <v>189</v>
      </c>
      <c r="K6" t="s">
        <v>183</v>
      </c>
      <c r="L6" t="s">
        <v>185</v>
      </c>
      <c r="M6" t="s">
        <v>187</v>
      </c>
      <c r="N6" t="s">
        <v>189</v>
      </c>
      <c r="O6" t="s">
        <v>183</v>
      </c>
      <c r="P6" t="s">
        <v>185</v>
      </c>
      <c r="Q6" t="s">
        <v>187</v>
      </c>
      <c r="R6" t="s">
        <v>189</v>
      </c>
      <c r="S6" t="s">
        <v>183</v>
      </c>
      <c r="T6" t="s">
        <v>185</v>
      </c>
      <c r="U6" t="s">
        <v>187</v>
      </c>
      <c r="V6" t="s">
        <v>189</v>
      </c>
    </row>
    <row r="7" spans="1:26" x14ac:dyDescent="0.25">
      <c r="A7" t="s">
        <v>193</v>
      </c>
      <c r="B7" t="s">
        <v>74</v>
      </c>
      <c r="C7">
        <v>0.62</v>
      </c>
      <c r="D7">
        <v>0.35589999999999899</v>
      </c>
      <c r="E7">
        <v>0.37809999999999999</v>
      </c>
      <c r="F7">
        <v>0.32329999999999998</v>
      </c>
      <c r="G7" t="e">
        <v>#DIV/0!</v>
      </c>
      <c r="H7">
        <v>0.35920000000000002</v>
      </c>
      <c r="I7">
        <v>0.3947</v>
      </c>
      <c r="J7">
        <v>0.30859999999999999</v>
      </c>
      <c r="K7" t="e">
        <v>#DIV/0!</v>
      </c>
      <c r="L7" t="e">
        <v>#DIV/0!</v>
      </c>
      <c r="M7">
        <v>0.44259999999999999</v>
      </c>
      <c r="N7">
        <v>0.29809999999999998</v>
      </c>
      <c r="O7" t="e">
        <v>#DIV/0!</v>
      </c>
      <c r="P7" t="e">
        <v>#DIV/0!</v>
      </c>
      <c r="Q7">
        <v>0.433</v>
      </c>
      <c r="R7">
        <v>0.36570000000000003</v>
      </c>
      <c r="S7" t="e">
        <v>#DIV/0!</v>
      </c>
      <c r="T7" t="e">
        <v>#DIV/0!</v>
      </c>
      <c r="U7">
        <v>0.57230000000000003</v>
      </c>
      <c r="V7">
        <v>0.50560000000000005</v>
      </c>
      <c r="W7">
        <v>0.62</v>
      </c>
      <c r="X7">
        <v>0.35754999999999948</v>
      </c>
      <c r="Y7">
        <v>0.44413999999999998</v>
      </c>
      <c r="Z7">
        <v>0.36026000000000002</v>
      </c>
    </row>
    <row r="8" spans="1:26" x14ac:dyDescent="0.25">
      <c r="B8" t="s">
        <v>80</v>
      </c>
      <c r="C8">
        <v>0.44650000000000001</v>
      </c>
      <c r="D8">
        <v>0.10929999999999999</v>
      </c>
      <c r="E8">
        <v>0.1197</v>
      </c>
      <c r="F8">
        <v>0.45739999999999897</v>
      </c>
      <c r="G8" t="e">
        <v>#DIV/0!</v>
      </c>
      <c r="H8">
        <v>0.13350000000000001</v>
      </c>
      <c r="I8">
        <v>0.13120000000000001</v>
      </c>
      <c r="J8">
        <v>0.47410000000000002</v>
      </c>
      <c r="K8" t="e">
        <v>#DIV/0!</v>
      </c>
      <c r="L8" t="e">
        <v>#DIV/0!</v>
      </c>
      <c r="M8">
        <v>0.11840000000000001</v>
      </c>
      <c r="N8">
        <v>0.43120000000000003</v>
      </c>
      <c r="O8" t="e">
        <v>#DIV/0!</v>
      </c>
      <c r="P8" t="e">
        <v>#DIV/0!</v>
      </c>
      <c r="Q8">
        <v>0.16239999999999999</v>
      </c>
      <c r="R8">
        <v>0.48549999999999999</v>
      </c>
      <c r="S8" t="e">
        <v>#DIV/0!</v>
      </c>
      <c r="T8" t="e">
        <v>#DIV/0!</v>
      </c>
      <c r="U8">
        <v>0.40660000000000002</v>
      </c>
      <c r="V8">
        <v>0.44009999999999999</v>
      </c>
      <c r="W8">
        <v>0.44650000000000001</v>
      </c>
      <c r="X8">
        <v>0.12140000000000001</v>
      </c>
      <c r="Y8">
        <v>0.18766000000000002</v>
      </c>
      <c r="Z8">
        <v>0.45765999999999984</v>
      </c>
    </row>
    <row r="9" spans="1:26" x14ac:dyDescent="0.25">
      <c r="B9" t="s">
        <v>86</v>
      </c>
      <c r="C9">
        <v>0.6351</v>
      </c>
      <c r="D9">
        <v>0.41699999999999898</v>
      </c>
      <c r="E9">
        <v>0.42259999999999998</v>
      </c>
      <c r="F9">
        <v>0.36699999999999999</v>
      </c>
      <c r="G9" t="e">
        <v>#DIV/0!</v>
      </c>
      <c r="H9">
        <v>0.44090000000000001</v>
      </c>
      <c r="I9">
        <v>0.45329999999999998</v>
      </c>
      <c r="J9">
        <v>0.54159999999999997</v>
      </c>
      <c r="K9" t="e">
        <v>#DIV/0!</v>
      </c>
      <c r="L9" t="e">
        <v>#DIV/0!</v>
      </c>
      <c r="M9">
        <v>0.434</v>
      </c>
      <c r="N9">
        <v>0.4239</v>
      </c>
      <c r="O9" t="e">
        <v>#DIV/0!</v>
      </c>
      <c r="P9" t="e">
        <v>#DIV/0!</v>
      </c>
      <c r="Q9">
        <v>0.45829999999999999</v>
      </c>
      <c r="R9">
        <v>0.49220000000000003</v>
      </c>
      <c r="S9" t="e">
        <v>#DIV/0!</v>
      </c>
      <c r="T9" t="e">
        <v>#DIV/0!</v>
      </c>
      <c r="U9">
        <v>0.5877</v>
      </c>
      <c r="V9">
        <v>0.65090000000000003</v>
      </c>
      <c r="W9">
        <v>0.6351</v>
      </c>
      <c r="X9">
        <v>0.4289499999999995</v>
      </c>
      <c r="Y9">
        <v>0.47117999999999993</v>
      </c>
      <c r="Z9">
        <v>0.49512</v>
      </c>
    </row>
    <row r="10" spans="1:26" x14ac:dyDescent="0.25">
      <c r="A10" t="s">
        <v>192</v>
      </c>
      <c r="B10" t="s">
        <v>10</v>
      </c>
      <c r="S10" t="e">
        <v>#DIV/0!</v>
      </c>
      <c r="T10" t="e">
        <v>#DIV/0!</v>
      </c>
      <c r="U10">
        <v>2.7799999999999998E-2</v>
      </c>
      <c r="V10">
        <v>3.9199999999999999E-2</v>
      </c>
      <c r="W10" t="e">
        <v>#DIV/0!</v>
      </c>
      <c r="X10" t="e">
        <v>#DIV/0!</v>
      </c>
      <c r="Y10">
        <v>2.7799999999999998E-2</v>
      </c>
      <c r="Z10">
        <v>3.9199999999999999E-2</v>
      </c>
    </row>
    <row r="11" spans="1:26" x14ac:dyDescent="0.25">
      <c r="B11" t="s">
        <v>14</v>
      </c>
      <c r="S11" t="e">
        <v>#DIV/0!</v>
      </c>
      <c r="T11" t="e">
        <v>#DIV/0!</v>
      </c>
      <c r="U11">
        <v>2.5899999999999999E-2</v>
      </c>
      <c r="V11">
        <v>0</v>
      </c>
      <c r="W11" t="e">
        <v>#DIV/0!</v>
      </c>
      <c r="X11" t="e">
        <v>#DIV/0!</v>
      </c>
      <c r="Y11">
        <v>2.5899999999999999E-2</v>
      </c>
      <c r="Z11">
        <v>0</v>
      </c>
    </row>
    <row r="12" spans="1:26" x14ac:dyDescent="0.25">
      <c r="B12" t="s">
        <v>16</v>
      </c>
      <c r="S12" t="e">
        <v>#DIV/0!</v>
      </c>
      <c r="T12" t="e">
        <v>#DIV/0!</v>
      </c>
      <c r="U12">
        <v>0.27100000000000002</v>
      </c>
      <c r="V12">
        <v>4.36E-2</v>
      </c>
      <c r="W12" t="e">
        <v>#DIV/0!</v>
      </c>
      <c r="X12" t="e">
        <v>#DIV/0!</v>
      </c>
      <c r="Y12">
        <v>0.27100000000000002</v>
      </c>
      <c r="Z12">
        <v>4.36E-2</v>
      </c>
    </row>
    <row r="13" spans="1:26" x14ac:dyDescent="0.25">
      <c r="B13" t="s">
        <v>18</v>
      </c>
      <c r="S13" t="e">
        <v>#DIV/0!</v>
      </c>
      <c r="T13" t="e">
        <v>#DIV/0!</v>
      </c>
      <c r="U13">
        <v>0.1381</v>
      </c>
      <c r="V13">
        <v>3.8999999999999898E-3</v>
      </c>
      <c r="W13" t="e">
        <v>#DIV/0!</v>
      </c>
      <c r="X13" t="e">
        <v>#DIV/0!</v>
      </c>
      <c r="Y13">
        <v>0.1381</v>
      </c>
      <c r="Z13">
        <v>3.8999999999999898E-3</v>
      </c>
    </row>
    <row r="14" spans="1:26" x14ac:dyDescent="0.25">
      <c r="B14" t="s">
        <v>20</v>
      </c>
      <c r="C14">
        <v>0.61860000000000004</v>
      </c>
      <c r="D14">
        <v>0.18579999999999999</v>
      </c>
      <c r="E14">
        <v>0.20860000000000001</v>
      </c>
      <c r="F14">
        <v>0.32619999999999999</v>
      </c>
      <c r="G14" t="e">
        <v>#DIV/0!</v>
      </c>
      <c r="H14">
        <v>0.19020000000000001</v>
      </c>
      <c r="I14">
        <v>0.1179</v>
      </c>
      <c r="J14">
        <v>0.19059999999999999</v>
      </c>
      <c r="K14" t="e">
        <v>#DIV/0!</v>
      </c>
      <c r="L14" t="e">
        <v>#DIV/0!</v>
      </c>
      <c r="M14">
        <v>0.14680000000000001</v>
      </c>
      <c r="N14">
        <v>0.16739999999999999</v>
      </c>
      <c r="O14" t="e">
        <v>#DIV/0!</v>
      </c>
      <c r="P14" t="e">
        <v>#DIV/0!</v>
      </c>
      <c r="Q14">
        <v>0.2087</v>
      </c>
      <c r="R14">
        <v>0.42209999999999998</v>
      </c>
      <c r="S14" t="e">
        <v>#DIV/0!</v>
      </c>
      <c r="T14" t="e">
        <v>#DIV/0!</v>
      </c>
      <c r="U14">
        <v>0.36059999999999898</v>
      </c>
      <c r="V14">
        <v>0.33929999999999999</v>
      </c>
      <c r="W14">
        <v>0.61860000000000004</v>
      </c>
      <c r="X14">
        <v>0.188</v>
      </c>
      <c r="Y14">
        <v>0.20851999999999982</v>
      </c>
      <c r="Z14">
        <v>0.28911999999999993</v>
      </c>
    </row>
    <row r="15" spans="1:26" x14ac:dyDescent="0.25">
      <c r="B15" t="s">
        <v>27</v>
      </c>
      <c r="C15">
        <v>0.58960000000000001</v>
      </c>
      <c r="D15">
        <v>0.1905</v>
      </c>
      <c r="E15">
        <v>0.14499999999999899</v>
      </c>
      <c r="F15">
        <v>0.14879999999999899</v>
      </c>
      <c r="G15" t="e">
        <v>#DIV/0!</v>
      </c>
      <c r="H15">
        <v>0.1943</v>
      </c>
      <c r="I15">
        <v>0.16370000000000001</v>
      </c>
      <c r="J15">
        <v>0.24210000000000001</v>
      </c>
      <c r="K15" t="e">
        <v>#DIV/0!</v>
      </c>
      <c r="L15" t="e">
        <v>#DIV/0!</v>
      </c>
      <c r="M15">
        <v>0.316</v>
      </c>
      <c r="N15">
        <v>0.42570000000000002</v>
      </c>
      <c r="O15" t="e">
        <v>#DIV/0!</v>
      </c>
      <c r="P15" t="e">
        <v>#DIV/0!</v>
      </c>
      <c r="Q15">
        <v>0.33979999999999999</v>
      </c>
      <c r="R15">
        <v>0.43990000000000001</v>
      </c>
      <c r="S15" t="e">
        <v>#DIV/0!</v>
      </c>
      <c r="T15" t="e">
        <v>#DIV/0!</v>
      </c>
      <c r="U15">
        <v>0.47470000000000001</v>
      </c>
      <c r="V15">
        <v>0.48110000000000003</v>
      </c>
      <c r="W15">
        <v>0.58960000000000001</v>
      </c>
      <c r="X15">
        <v>0.19240000000000002</v>
      </c>
      <c r="Y15">
        <v>0.28783999999999976</v>
      </c>
      <c r="Z15">
        <v>0.34751999999999983</v>
      </c>
    </row>
    <row r="16" spans="1:26" x14ac:dyDescent="0.25">
      <c r="B16" t="s">
        <v>33</v>
      </c>
      <c r="C16">
        <v>0.53269999999999895</v>
      </c>
      <c r="D16">
        <v>0.13250000000000001</v>
      </c>
      <c r="E16">
        <v>0.23480000000000001</v>
      </c>
      <c r="F16">
        <v>0.23039999999999999</v>
      </c>
      <c r="G16" t="e">
        <v>#DIV/0!</v>
      </c>
      <c r="H16">
        <v>0.12670000000000001</v>
      </c>
      <c r="I16">
        <v>0.30669999999999897</v>
      </c>
      <c r="J16">
        <v>0.29370000000000002</v>
      </c>
      <c r="K16" t="e">
        <v>#DIV/0!</v>
      </c>
      <c r="L16" t="e">
        <v>#DIV/0!</v>
      </c>
      <c r="M16">
        <v>0.25380000000000003</v>
      </c>
      <c r="N16">
        <v>0.30549999999999999</v>
      </c>
      <c r="O16" t="e">
        <v>#DIV/0!</v>
      </c>
      <c r="P16" t="e">
        <v>#DIV/0!</v>
      </c>
      <c r="Q16">
        <v>0.30620000000000003</v>
      </c>
      <c r="R16">
        <v>0.37230000000000002</v>
      </c>
      <c r="S16" t="e">
        <v>#DIV/0!</v>
      </c>
      <c r="T16" t="e">
        <v>#DIV/0!</v>
      </c>
      <c r="U16">
        <v>0.4738</v>
      </c>
      <c r="V16">
        <v>0.38080000000000003</v>
      </c>
      <c r="W16">
        <v>0.53269999999999895</v>
      </c>
      <c r="X16">
        <v>0.12959999999999999</v>
      </c>
      <c r="Y16">
        <v>0.31505999999999978</v>
      </c>
      <c r="Z16">
        <v>0.31653999999999999</v>
      </c>
    </row>
    <row r="17" spans="1:26" x14ac:dyDescent="0.25">
      <c r="B17" t="s">
        <v>39</v>
      </c>
      <c r="C17">
        <v>6.6500000000000004E-2</v>
      </c>
      <c r="D17">
        <v>3.6499999999999998E-2</v>
      </c>
      <c r="E17">
        <v>5.2299999999999902E-2</v>
      </c>
      <c r="F17">
        <v>4.8300000000000003E-2</v>
      </c>
      <c r="G17" t="e">
        <v>#DIV/0!</v>
      </c>
      <c r="H17">
        <v>4.8800000000000003E-2</v>
      </c>
      <c r="I17">
        <v>7.22E-2</v>
      </c>
      <c r="J17">
        <v>7.3700000000000002E-2</v>
      </c>
      <c r="K17" t="e">
        <v>#DIV/0!</v>
      </c>
      <c r="L17" t="e">
        <v>#DIV/0!</v>
      </c>
      <c r="M17">
        <v>1.9699999999999999E-2</v>
      </c>
      <c r="N17">
        <v>0</v>
      </c>
      <c r="O17" t="e">
        <v>#DIV/0!</v>
      </c>
      <c r="P17" t="e">
        <v>#DIV/0!</v>
      </c>
      <c r="Q17">
        <v>2.1100000000000001E-2</v>
      </c>
      <c r="R17">
        <v>7.22E-2</v>
      </c>
      <c r="S17" t="e">
        <v>#DIV/0!</v>
      </c>
      <c r="T17" t="e">
        <v>#DIV/0!</v>
      </c>
      <c r="U17">
        <v>6.0299999999999999E-2</v>
      </c>
      <c r="V17">
        <v>0</v>
      </c>
      <c r="W17">
        <v>6.6500000000000004E-2</v>
      </c>
      <c r="X17">
        <v>4.265E-2</v>
      </c>
      <c r="Y17">
        <v>4.511999999999998E-2</v>
      </c>
      <c r="Z17">
        <v>3.884E-2</v>
      </c>
    </row>
    <row r="18" spans="1:26" x14ac:dyDescent="0.25">
      <c r="B18" t="s">
        <v>45</v>
      </c>
      <c r="C18">
        <v>0.49559999999999899</v>
      </c>
      <c r="D18">
        <v>0.1648</v>
      </c>
      <c r="E18">
        <v>0.2228</v>
      </c>
      <c r="F18">
        <v>0.34810000000000002</v>
      </c>
      <c r="G18" t="e">
        <v>#DIV/0!</v>
      </c>
      <c r="H18">
        <v>0.17519999999999999</v>
      </c>
      <c r="I18">
        <v>0.2767</v>
      </c>
      <c r="J18">
        <v>0.42049999999999998</v>
      </c>
      <c r="K18" t="e">
        <v>#DIV/0!</v>
      </c>
      <c r="L18" t="e">
        <v>#DIV/0!</v>
      </c>
      <c r="M18">
        <v>0.34320000000000001</v>
      </c>
      <c r="N18">
        <v>0.50990000000000002</v>
      </c>
      <c r="O18" t="e">
        <v>#DIV/0!</v>
      </c>
      <c r="P18" t="e">
        <v>#DIV/0!</v>
      </c>
      <c r="Q18">
        <v>0.2928</v>
      </c>
      <c r="R18">
        <v>0.46079999999999999</v>
      </c>
      <c r="S18" t="e">
        <v>#DIV/0!</v>
      </c>
      <c r="T18" t="e">
        <v>#DIV/0!</v>
      </c>
      <c r="U18">
        <v>0.36830000000000002</v>
      </c>
      <c r="V18">
        <v>0.40100000000000002</v>
      </c>
      <c r="W18">
        <v>0.49559999999999899</v>
      </c>
      <c r="X18">
        <v>0.16999999999999998</v>
      </c>
      <c r="Y18">
        <v>0.30076000000000003</v>
      </c>
      <c r="Z18">
        <v>0.42806</v>
      </c>
    </row>
    <row r="19" spans="1:26" x14ac:dyDescent="0.25">
      <c r="B19" t="s">
        <v>51</v>
      </c>
      <c r="C19">
        <v>0.57820000000000005</v>
      </c>
      <c r="D19">
        <v>0</v>
      </c>
      <c r="E19">
        <v>0</v>
      </c>
      <c r="F19">
        <v>0</v>
      </c>
      <c r="G19" t="e">
        <v>#DIV/0!</v>
      </c>
      <c r="H19">
        <v>2.9100000000000001E-2</v>
      </c>
      <c r="I19">
        <v>2.81E-2</v>
      </c>
      <c r="J19">
        <v>7.0999999999999994E-2</v>
      </c>
      <c r="K19" t="e">
        <v>#DIV/0!</v>
      </c>
      <c r="L19" t="e">
        <v>#DIV/0!</v>
      </c>
      <c r="M19">
        <v>0.39340000000000003</v>
      </c>
      <c r="N19">
        <v>0.43340000000000001</v>
      </c>
      <c r="O19" t="e">
        <v>#DIV/0!</v>
      </c>
      <c r="P19" t="e">
        <v>#DIV/0!</v>
      </c>
      <c r="Q19">
        <v>0.3619</v>
      </c>
      <c r="R19">
        <v>0.45639999999999997</v>
      </c>
      <c r="S19" t="e">
        <v>#DIV/0!</v>
      </c>
      <c r="T19" t="e">
        <v>#DIV/0!</v>
      </c>
      <c r="U19">
        <v>0.51080000000000003</v>
      </c>
      <c r="V19">
        <v>0.46929999999999999</v>
      </c>
      <c r="W19">
        <v>0.57820000000000005</v>
      </c>
      <c r="X19">
        <v>1.455E-2</v>
      </c>
      <c r="Y19">
        <v>0.25884000000000001</v>
      </c>
      <c r="Z19">
        <v>0.28602</v>
      </c>
    </row>
    <row r="20" spans="1:26" x14ac:dyDescent="0.25">
      <c r="B20" t="s">
        <v>57</v>
      </c>
      <c r="S20" t="e">
        <v>#DIV/0!</v>
      </c>
      <c r="T20" t="e">
        <v>#DIV/0!</v>
      </c>
      <c r="U20">
        <v>2.1000000000000001E-2</v>
      </c>
      <c r="V20">
        <v>3.7600000000000001E-2</v>
      </c>
      <c r="W20" t="e">
        <v>#DIV/0!</v>
      </c>
      <c r="X20" t="e">
        <v>#DIV/0!</v>
      </c>
      <c r="Y20">
        <v>2.1000000000000001E-2</v>
      </c>
      <c r="Z20">
        <v>3.7600000000000001E-2</v>
      </c>
    </row>
    <row r="21" spans="1:26" x14ac:dyDescent="0.25">
      <c r="B21" t="s">
        <v>59</v>
      </c>
      <c r="S21" t="e">
        <v>#DIV/0!</v>
      </c>
      <c r="T21" t="e">
        <v>#DIV/0!</v>
      </c>
      <c r="U21">
        <v>0.42059999999999897</v>
      </c>
      <c r="V21">
        <v>0.30590000000000001</v>
      </c>
      <c r="W21" t="e">
        <v>#DIV/0!</v>
      </c>
      <c r="X21" t="e">
        <v>#DIV/0!</v>
      </c>
      <c r="Y21">
        <v>0.42059999999999897</v>
      </c>
      <c r="Z21">
        <v>0.30590000000000001</v>
      </c>
    </row>
    <row r="22" spans="1:26" x14ac:dyDescent="0.25">
      <c r="B22" t="s">
        <v>61</v>
      </c>
      <c r="C22">
        <v>0.3866</v>
      </c>
      <c r="D22">
        <v>0.10390000000000001</v>
      </c>
      <c r="E22">
        <v>0.1789</v>
      </c>
      <c r="F22">
        <v>0.16539999999999999</v>
      </c>
      <c r="G22" t="e">
        <v>#DIV/0!</v>
      </c>
      <c r="H22">
        <v>0.1704</v>
      </c>
      <c r="I22">
        <v>0.20100000000000001</v>
      </c>
      <c r="J22">
        <v>0.28189999999999898</v>
      </c>
      <c r="K22" t="e">
        <v>#DIV/0!</v>
      </c>
      <c r="L22" t="e">
        <v>#DIV/0!</v>
      </c>
      <c r="M22">
        <v>0.1971</v>
      </c>
      <c r="N22">
        <v>0.26019999999999999</v>
      </c>
      <c r="O22" t="e">
        <v>#DIV/0!</v>
      </c>
      <c r="P22" t="e">
        <v>#DIV/0!</v>
      </c>
      <c r="Q22">
        <v>0.26190000000000002</v>
      </c>
      <c r="R22">
        <v>0.39379999999999898</v>
      </c>
      <c r="S22" t="e">
        <v>#DIV/0!</v>
      </c>
      <c r="T22" t="e">
        <v>#DIV/0!</v>
      </c>
      <c r="U22">
        <v>0.4541</v>
      </c>
      <c r="V22">
        <v>0.37280000000000002</v>
      </c>
      <c r="W22">
        <v>0.3866</v>
      </c>
      <c r="X22">
        <v>0.13714999999999999</v>
      </c>
      <c r="Y22">
        <v>0.2586</v>
      </c>
      <c r="Z22">
        <v>0.29481999999999958</v>
      </c>
    </row>
    <row r="23" spans="1:26" x14ac:dyDescent="0.25">
      <c r="B23" t="s">
        <v>67</v>
      </c>
      <c r="C23">
        <v>0.37790000000000001</v>
      </c>
      <c r="D23">
        <v>0.14940000000000001</v>
      </c>
      <c r="E23">
        <v>0.17630000000000001</v>
      </c>
      <c r="F23">
        <v>0.13150000000000001</v>
      </c>
      <c r="G23" t="e">
        <v>#DIV/0!</v>
      </c>
      <c r="H23">
        <v>0.16520000000000001</v>
      </c>
      <c r="I23">
        <v>0.27100000000000002</v>
      </c>
      <c r="J23">
        <v>0.186</v>
      </c>
      <c r="K23" t="e">
        <v>#DIV/0!</v>
      </c>
      <c r="L23" t="e">
        <v>#DIV/0!</v>
      </c>
      <c r="M23">
        <v>0.1971</v>
      </c>
      <c r="N23">
        <v>0.1653</v>
      </c>
      <c r="O23" t="e">
        <v>#DIV/0!</v>
      </c>
      <c r="P23" t="e">
        <v>#DIV/0!</v>
      </c>
      <c r="Q23">
        <v>0.1827</v>
      </c>
      <c r="R23">
        <v>0.1545</v>
      </c>
      <c r="S23" t="e">
        <v>#DIV/0!</v>
      </c>
      <c r="T23" t="e">
        <v>#DIV/0!</v>
      </c>
      <c r="U23">
        <v>0.51859999999999895</v>
      </c>
      <c r="V23">
        <v>0.26500000000000001</v>
      </c>
      <c r="W23">
        <v>0.37790000000000001</v>
      </c>
      <c r="X23">
        <v>0.1573</v>
      </c>
      <c r="Y23">
        <v>0.26913999999999982</v>
      </c>
      <c r="Z23">
        <v>0.18046000000000001</v>
      </c>
    </row>
    <row r="24" spans="1:26" x14ac:dyDescent="0.25">
      <c r="A24" t="s">
        <v>181</v>
      </c>
      <c r="C24">
        <v>0.48611818181818156</v>
      </c>
      <c r="D24">
        <v>0.167781818181818</v>
      </c>
      <c r="E24">
        <v>0.19446363636363626</v>
      </c>
      <c r="F24">
        <v>0.23149090909090891</v>
      </c>
      <c r="G24" t="e">
        <v>#DIV/0!</v>
      </c>
      <c r="H24">
        <v>0.18486363636363634</v>
      </c>
      <c r="I24">
        <v>0.21968181818181806</v>
      </c>
      <c r="J24">
        <v>0.28034545454545445</v>
      </c>
      <c r="K24" t="e">
        <v>#DIV/0!</v>
      </c>
      <c r="L24" t="e">
        <v>#DIV/0!</v>
      </c>
      <c r="M24">
        <v>0.26019090909090908</v>
      </c>
      <c r="N24">
        <v>0.31096363636363639</v>
      </c>
      <c r="O24" t="e">
        <v>#DIV/0!</v>
      </c>
      <c r="P24" t="e">
        <v>#DIV/0!</v>
      </c>
      <c r="Q24">
        <v>0.27534545454545456</v>
      </c>
      <c r="R24">
        <v>0.37412727272727259</v>
      </c>
      <c r="S24" t="e">
        <v>#DIV/0!</v>
      </c>
      <c r="T24" t="e">
        <v>#DIV/0!</v>
      </c>
      <c r="U24">
        <v>0.33483529411764695</v>
      </c>
      <c r="V24">
        <v>0.27859411764705877</v>
      </c>
      <c r="W24">
        <v>0.48611818181818156</v>
      </c>
      <c r="X24">
        <v>0.17632272727272719</v>
      </c>
      <c r="Y24">
        <v>0.26456885245901629</v>
      </c>
      <c r="Z24">
        <v>0.29348032786885236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212-CAC5-4FF6-8415-09B154D56B09}">
  <dimension ref="A1:J62"/>
  <sheetViews>
    <sheetView topLeftCell="A22" workbookViewId="0">
      <selection activeCell="J48" sqref="J48:J62"/>
    </sheetView>
  </sheetViews>
  <sheetFormatPr defaultRowHeight="13.8" x14ac:dyDescent="0.25"/>
  <cols>
    <col min="1" max="1" width="18.88671875" bestFit="1" customWidth="1"/>
    <col min="2" max="2" width="18.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191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 t="s">
        <v>13</v>
      </c>
      <c r="H2" s="1">
        <v>2.7799999999999998E-2</v>
      </c>
      <c r="I2" s="1">
        <v>3.9199999999999999E-2</v>
      </c>
      <c r="J2" t="s">
        <v>192</v>
      </c>
    </row>
    <row r="3" spans="1:10" x14ac:dyDescent="0.25">
      <c r="A3" t="s">
        <v>9</v>
      </c>
      <c r="B3" t="s">
        <v>14</v>
      </c>
      <c r="C3" t="s">
        <v>11</v>
      </c>
      <c r="D3" t="s">
        <v>15</v>
      </c>
      <c r="E3">
        <v>3</v>
      </c>
      <c r="F3" t="s">
        <v>13</v>
      </c>
      <c r="G3" t="s">
        <v>13</v>
      </c>
      <c r="H3" s="1">
        <v>2.5899999999999999E-2</v>
      </c>
      <c r="I3" s="1">
        <v>0</v>
      </c>
      <c r="J3" t="s">
        <v>192</v>
      </c>
    </row>
    <row r="4" spans="1:10" x14ac:dyDescent="0.25">
      <c r="A4" t="s">
        <v>9</v>
      </c>
      <c r="B4" t="s">
        <v>16</v>
      </c>
      <c r="C4" t="s">
        <v>11</v>
      </c>
      <c r="D4" t="s">
        <v>17</v>
      </c>
      <c r="E4">
        <v>3</v>
      </c>
      <c r="F4" t="s">
        <v>13</v>
      </c>
      <c r="G4" t="s">
        <v>13</v>
      </c>
      <c r="H4" s="1">
        <v>0.27100000000000002</v>
      </c>
      <c r="I4" s="1">
        <v>4.36E-2</v>
      </c>
      <c r="J4" t="s">
        <v>192</v>
      </c>
    </row>
    <row r="5" spans="1:10" x14ac:dyDescent="0.25">
      <c r="A5" t="s">
        <v>9</v>
      </c>
      <c r="B5" t="s">
        <v>18</v>
      </c>
      <c r="C5" t="s">
        <v>11</v>
      </c>
      <c r="D5" t="s">
        <v>19</v>
      </c>
      <c r="E5">
        <v>3</v>
      </c>
      <c r="F5" t="s">
        <v>13</v>
      </c>
      <c r="G5" t="s">
        <v>13</v>
      </c>
      <c r="H5" s="1">
        <v>0.1381</v>
      </c>
      <c r="I5" s="1">
        <v>3.8999999999999898E-3</v>
      </c>
      <c r="J5" t="s">
        <v>192</v>
      </c>
    </row>
    <row r="6" spans="1:10" x14ac:dyDescent="0.25">
      <c r="A6" t="s">
        <v>9</v>
      </c>
      <c r="B6" t="s">
        <v>20</v>
      </c>
      <c r="C6" t="s">
        <v>21</v>
      </c>
      <c r="D6" t="s">
        <v>22</v>
      </c>
      <c r="E6">
        <v>1</v>
      </c>
      <c r="F6" s="1">
        <v>0.61860000000000004</v>
      </c>
      <c r="G6" s="1">
        <v>0.18579999999999999</v>
      </c>
      <c r="H6" s="1">
        <v>0.20860000000000001</v>
      </c>
      <c r="I6" s="1">
        <v>0.32619999999999999</v>
      </c>
      <c r="J6" t="s">
        <v>192</v>
      </c>
    </row>
    <row r="7" spans="1:10" x14ac:dyDescent="0.25">
      <c r="A7" t="s">
        <v>9</v>
      </c>
      <c r="B7" t="s">
        <v>20</v>
      </c>
      <c r="C7" t="s">
        <v>21</v>
      </c>
      <c r="D7" t="s">
        <v>23</v>
      </c>
      <c r="E7">
        <v>2</v>
      </c>
      <c r="F7" t="s">
        <v>13</v>
      </c>
      <c r="G7" s="1">
        <v>0.19020000000000001</v>
      </c>
      <c r="H7" s="1">
        <v>0.1179</v>
      </c>
      <c r="I7" s="1">
        <v>0.19059999999999999</v>
      </c>
      <c r="J7" t="s">
        <v>192</v>
      </c>
    </row>
    <row r="8" spans="1:10" x14ac:dyDescent="0.25">
      <c r="A8" t="s">
        <v>9</v>
      </c>
      <c r="B8" t="s">
        <v>20</v>
      </c>
      <c r="C8" t="s">
        <v>11</v>
      </c>
      <c r="D8" t="s">
        <v>24</v>
      </c>
      <c r="E8">
        <v>1</v>
      </c>
      <c r="F8" t="s">
        <v>13</v>
      </c>
      <c r="G8" t="s">
        <v>13</v>
      </c>
      <c r="H8" s="1">
        <v>0.14680000000000001</v>
      </c>
      <c r="I8" s="1">
        <v>0.16739999999999999</v>
      </c>
      <c r="J8" t="s">
        <v>192</v>
      </c>
    </row>
    <row r="9" spans="1:10" x14ac:dyDescent="0.25">
      <c r="A9" t="s">
        <v>9</v>
      </c>
      <c r="B9" t="s">
        <v>20</v>
      </c>
      <c r="C9" t="s">
        <v>11</v>
      </c>
      <c r="D9" t="s">
        <v>25</v>
      </c>
      <c r="E9">
        <v>2</v>
      </c>
      <c r="F9" t="s">
        <v>13</v>
      </c>
      <c r="G9" t="s">
        <v>13</v>
      </c>
      <c r="H9" s="1">
        <v>0.2087</v>
      </c>
      <c r="I9" s="1">
        <v>0.42209999999999998</v>
      </c>
      <c r="J9" t="s">
        <v>192</v>
      </c>
    </row>
    <row r="10" spans="1:10" x14ac:dyDescent="0.25">
      <c r="A10" t="s">
        <v>9</v>
      </c>
      <c r="B10" t="s">
        <v>20</v>
      </c>
      <c r="C10" t="s">
        <v>11</v>
      </c>
      <c r="D10" t="s">
        <v>26</v>
      </c>
      <c r="E10">
        <v>3</v>
      </c>
      <c r="F10" t="s">
        <v>13</v>
      </c>
      <c r="G10" t="s">
        <v>13</v>
      </c>
      <c r="H10" s="1">
        <v>0.36059999999999898</v>
      </c>
      <c r="I10" s="1">
        <v>0.33929999999999999</v>
      </c>
      <c r="J10" t="s">
        <v>192</v>
      </c>
    </row>
    <row r="11" spans="1:10" x14ac:dyDescent="0.25">
      <c r="A11" t="s">
        <v>9</v>
      </c>
      <c r="B11" t="s">
        <v>27</v>
      </c>
      <c r="C11" t="s">
        <v>21</v>
      </c>
      <c r="D11" t="s">
        <v>28</v>
      </c>
      <c r="E11">
        <v>1</v>
      </c>
      <c r="F11" s="1">
        <v>0.58960000000000001</v>
      </c>
      <c r="G11" s="1">
        <v>0.1905</v>
      </c>
      <c r="H11" s="1">
        <v>0.14499999999999899</v>
      </c>
      <c r="I11" s="1">
        <v>0.14879999999999899</v>
      </c>
      <c r="J11" t="s">
        <v>192</v>
      </c>
    </row>
    <row r="12" spans="1:10" x14ac:dyDescent="0.25">
      <c r="A12" t="s">
        <v>9</v>
      </c>
      <c r="B12" t="s">
        <v>27</v>
      </c>
      <c r="C12" t="s">
        <v>21</v>
      </c>
      <c r="D12" t="s">
        <v>29</v>
      </c>
      <c r="E12">
        <v>2</v>
      </c>
      <c r="F12" t="s">
        <v>13</v>
      </c>
      <c r="G12" s="1">
        <v>0.1943</v>
      </c>
      <c r="H12" s="1">
        <v>0.16370000000000001</v>
      </c>
      <c r="I12" s="1">
        <v>0.24210000000000001</v>
      </c>
      <c r="J12" t="s">
        <v>192</v>
      </c>
    </row>
    <row r="13" spans="1:10" x14ac:dyDescent="0.25">
      <c r="A13" t="s">
        <v>9</v>
      </c>
      <c r="B13" t="s">
        <v>27</v>
      </c>
      <c r="C13" t="s">
        <v>11</v>
      </c>
      <c r="D13" t="s">
        <v>30</v>
      </c>
      <c r="E13">
        <v>1</v>
      </c>
      <c r="F13" t="s">
        <v>13</v>
      </c>
      <c r="G13" t="s">
        <v>13</v>
      </c>
      <c r="H13" s="1">
        <v>0.316</v>
      </c>
      <c r="I13" s="1">
        <v>0.42570000000000002</v>
      </c>
      <c r="J13" t="s">
        <v>192</v>
      </c>
    </row>
    <row r="14" spans="1:10" x14ac:dyDescent="0.25">
      <c r="A14" t="s">
        <v>9</v>
      </c>
      <c r="B14" t="s">
        <v>27</v>
      </c>
      <c r="C14" t="s">
        <v>11</v>
      </c>
      <c r="D14" t="s">
        <v>31</v>
      </c>
      <c r="E14">
        <v>2</v>
      </c>
      <c r="F14" t="s">
        <v>13</v>
      </c>
      <c r="G14" t="s">
        <v>13</v>
      </c>
      <c r="H14" s="1">
        <v>0.33979999999999999</v>
      </c>
      <c r="I14" s="1">
        <v>0.43990000000000001</v>
      </c>
      <c r="J14" t="s">
        <v>192</v>
      </c>
    </row>
    <row r="15" spans="1:10" x14ac:dyDescent="0.25">
      <c r="A15" t="s">
        <v>9</v>
      </c>
      <c r="B15" t="s">
        <v>27</v>
      </c>
      <c r="C15" t="s">
        <v>11</v>
      </c>
      <c r="D15" t="s">
        <v>32</v>
      </c>
      <c r="E15">
        <v>3</v>
      </c>
      <c r="F15" t="s">
        <v>13</v>
      </c>
      <c r="G15" t="s">
        <v>13</v>
      </c>
      <c r="H15" s="1">
        <v>0.47470000000000001</v>
      </c>
      <c r="I15" s="1">
        <v>0.48110000000000003</v>
      </c>
      <c r="J15" t="s">
        <v>192</v>
      </c>
    </row>
    <row r="16" spans="1:10" x14ac:dyDescent="0.25">
      <c r="A16" t="s">
        <v>9</v>
      </c>
      <c r="B16" t="s">
        <v>33</v>
      </c>
      <c r="C16" t="s">
        <v>21</v>
      </c>
      <c r="D16" t="s">
        <v>34</v>
      </c>
      <c r="E16">
        <v>1</v>
      </c>
      <c r="F16" s="1">
        <v>0.53269999999999895</v>
      </c>
      <c r="G16" s="1">
        <v>0.13250000000000001</v>
      </c>
      <c r="H16" s="1">
        <v>0.23480000000000001</v>
      </c>
      <c r="I16" s="1">
        <v>0.23039999999999999</v>
      </c>
      <c r="J16" t="s">
        <v>192</v>
      </c>
    </row>
    <row r="17" spans="1:10" x14ac:dyDescent="0.25">
      <c r="A17" t="s">
        <v>9</v>
      </c>
      <c r="B17" t="s">
        <v>33</v>
      </c>
      <c r="C17" t="s">
        <v>21</v>
      </c>
      <c r="D17" t="s">
        <v>35</v>
      </c>
      <c r="E17">
        <v>2</v>
      </c>
      <c r="F17" t="s">
        <v>13</v>
      </c>
      <c r="G17" s="1">
        <v>0.12670000000000001</v>
      </c>
      <c r="H17" s="1">
        <v>0.30669999999999897</v>
      </c>
      <c r="I17" s="1">
        <v>0.29370000000000002</v>
      </c>
      <c r="J17" t="s">
        <v>192</v>
      </c>
    </row>
    <row r="18" spans="1:10" x14ac:dyDescent="0.25">
      <c r="A18" t="s">
        <v>9</v>
      </c>
      <c r="B18" t="s">
        <v>33</v>
      </c>
      <c r="C18" t="s">
        <v>11</v>
      </c>
      <c r="D18" t="s">
        <v>36</v>
      </c>
      <c r="E18">
        <v>1</v>
      </c>
      <c r="F18" t="s">
        <v>13</v>
      </c>
      <c r="G18" t="s">
        <v>13</v>
      </c>
      <c r="H18" s="1">
        <v>0.25380000000000003</v>
      </c>
      <c r="I18" s="1">
        <v>0.30549999999999999</v>
      </c>
      <c r="J18" t="s">
        <v>192</v>
      </c>
    </row>
    <row r="19" spans="1:10" x14ac:dyDescent="0.25">
      <c r="A19" t="s">
        <v>9</v>
      </c>
      <c r="B19" t="s">
        <v>33</v>
      </c>
      <c r="C19" t="s">
        <v>11</v>
      </c>
      <c r="D19" t="s">
        <v>37</v>
      </c>
      <c r="E19">
        <v>2</v>
      </c>
      <c r="F19" t="s">
        <v>13</v>
      </c>
      <c r="G19" t="s">
        <v>13</v>
      </c>
      <c r="H19" s="1">
        <v>0.30620000000000003</v>
      </c>
      <c r="I19" s="1">
        <v>0.37230000000000002</v>
      </c>
      <c r="J19" t="s">
        <v>192</v>
      </c>
    </row>
    <row r="20" spans="1:10" x14ac:dyDescent="0.25">
      <c r="A20" t="s">
        <v>9</v>
      </c>
      <c r="B20" t="s">
        <v>33</v>
      </c>
      <c r="C20" t="s">
        <v>11</v>
      </c>
      <c r="D20" t="s">
        <v>38</v>
      </c>
      <c r="E20">
        <v>3</v>
      </c>
      <c r="F20" t="s">
        <v>13</v>
      </c>
      <c r="G20" t="s">
        <v>13</v>
      </c>
      <c r="H20" s="1">
        <v>0.4738</v>
      </c>
      <c r="I20" s="1">
        <v>0.38080000000000003</v>
      </c>
      <c r="J20" t="s">
        <v>192</v>
      </c>
    </row>
    <row r="21" spans="1:10" x14ac:dyDescent="0.25">
      <c r="A21" t="s">
        <v>9</v>
      </c>
      <c r="B21" t="s">
        <v>39</v>
      </c>
      <c r="C21" t="s">
        <v>21</v>
      </c>
      <c r="D21" t="s">
        <v>40</v>
      </c>
      <c r="E21">
        <v>1</v>
      </c>
      <c r="F21" s="1">
        <v>6.6500000000000004E-2</v>
      </c>
      <c r="G21" s="1">
        <v>3.6499999999999998E-2</v>
      </c>
      <c r="H21" s="1">
        <v>5.2299999999999902E-2</v>
      </c>
      <c r="I21" s="1">
        <v>4.8300000000000003E-2</v>
      </c>
      <c r="J21" t="s">
        <v>192</v>
      </c>
    </row>
    <row r="22" spans="1:10" x14ac:dyDescent="0.25">
      <c r="A22" t="s">
        <v>9</v>
      </c>
      <c r="B22" t="s">
        <v>39</v>
      </c>
      <c r="C22" t="s">
        <v>21</v>
      </c>
      <c r="D22" t="s">
        <v>41</v>
      </c>
      <c r="E22">
        <v>2</v>
      </c>
      <c r="F22" t="s">
        <v>13</v>
      </c>
      <c r="G22" s="1">
        <v>4.8800000000000003E-2</v>
      </c>
      <c r="H22" s="1">
        <v>7.22E-2</v>
      </c>
      <c r="I22" s="1">
        <v>7.3700000000000002E-2</v>
      </c>
      <c r="J22" t="s">
        <v>192</v>
      </c>
    </row>
    <row r="23" spans="1:10" x14ac:dyDescent="0.25">
      <c r="A23" t="s">
        <v>9</v>
      </c>
      <c r="B23" t="s">
        <v>39</v>
      </c>
      <c r="C23" t="s">
        <v>11</v>
      </c>
      <c r="D23" t="s">
        <v>42</v>
      </c>
      <c r="E23">
        <v>1</v>
      </c>
      <c r="F23" t="s">
        <v>13</v>
      </c>
      <c r="G23" t="s">
        <v>13</v>
      </c>
      <c r="H23" s="1">
        <v>1.9699999999999999E-2</v>
      </c>
      <c r="I23" s="1">
        <v>0</v>
      </c>
      <c r="J23" t="s">
        <v>192</v>
      </c>
    </row>
    <row r="24" spans="1:10" x14ac:dyDescent="0.25">
      <c r="A24" t="s">
        <v>9</v>
      </c>
      <c r="B24" t="s">
        <v>39</v>
      </c>
      <c r="C24" t="s">
        <v>11</v>
      </c>
      <c r="D24" t="s">
        <v>43</v>
      </c>
      <c r="E24">
        <v>2</v>
      </c>
      <c r="F24" t="s">
        <v>13</v>
      </c>
      <c r="G24" t="s">
        <v>13</v>
      </c>
      <c r="H24" s="1">
        <v>2.1100000000000001E-2</v>
      </c>
      <c r="I24" s="1">
        <v>7.22E-2</v>
      </c>
      <c r="J24" t="s">
        <v>192</v>
      </c>
    </row>
    <row r="25" spans="1:10" x14ac:dyDescent="0.25">
      <c r="A25" t="s">
        <v>9</v>
      </c>
      <c r="B25" t="s">
        <v>39</v>
      </c>
      <c r="C25" t="s">
        <v>11</v>
      </c>
      <c r="D25" t="s">
        <v>44</v>
      </c>
      <c r="E25">
        <v>3</v>
      </c>
      <c r="F25" t="s">
        <v>13</v>
      </c>
      <c r="G25" t="s">
        <v>13</v>
      </c>
      <c r="H25" s="1">
        <v>6.0299999999999999E-2</v>
      </c>
      <c r="I25" s="1">
        <v>0</v>
      </c>
      <c r="J25" t="s">
        <v>192</v>
      </c>
    </row>
    <row r="26" spans="1:10" x14ac:dyDescent="0.25">
      <c r="A26" t="s">
        <v>9</v>
      </c>
      <c r="B26" t="s">
        <v>45</v>
      </c>
      <c r="C26" t="s">
        <v>21</v>
      </c>
      <c r="D26" t="s">
        <v>46</v>
      </c>
      <c r="E26">
        <v>1</v>
      </c>
      <c r="F26" s="1">
        <v>0.49559999999999899</v>
      </c>
      <c r="G26" s="1">
        <v>0.1648</v>
      </c>
      <c r="H26" s="1">
        <v>0.2228</v>
      </c>
      <c r="I26" s="1">
        <v>0.34810000000000002</v>
      </c>
      <c r="J26" t="s">
        <v>192</v>
      </c>
    </row>
    <row r="27" spans="1:10" x14ac:dyDescent="0.25">
      <c r="A27" t="s">
        <v>9</v>
      </c>
      <c r="B27" t="s">
        <v>45</v>
      </c>
      <c r="C27" t="s">
        <v>21</v>
      </c>
      <c r="D27" t="s">
        <v>47</v>
      </c>
      <c r="E27">
        <v>2</v>
      </c>
      <c r="F27" t="s">
        <v>13</v>
      </c>
      <c r="G27" s="1">
        <v>0.17519999999999999</v>
      </c>
      <c r="H27" s="1">
        <v>0.2767</v>
      </c>
      <c r="I27" s="1">
        <v>0.42049999999999998</v>
      </c>
      <c r="J27" t="s">
        <v>192</v>
      </c>
    </row>
    <row r="28" spans="1:10" x14ac:dyDescent="0.25">
      <c r="A28" t="s">
        <v>9</v>
      </c>
      <c r="B28" t="s">
        <v>45</v>
      </c>
      <c r="C28" t="s">
        <v>11</v>
      </c>
      <c r="D28" t="s">
        <v>48</v>
      </c>
      <c r="E28">
        <v>1</v>
      </c>
      <c r="F28" t="s">
        <v>13</v>
      </c>
      <c r="G28" t="s">
        <v>13</v>
      </c>
      <c r="H28" s="1">
        <v>0.34320000000000001</v>
      </c>
      <c r="I28" s="1">
        <v>0.50990000000000002</v>
      </c>
      <c r="J28" t="s">
        <v>192</v>
      </c>
    </row>
    <row r="29" spans="1:10" x14ac:dyDescent="0.25">
      <c r="A29" t="s">
        <v>9</v>
      </c>
      <c r="B29" t="s">
        <v>45</v>
      </c>
      <c r="C29" t="s">
        <v>11</v>
      </c>
      <c r="D29" t="s">
        <v>49</v>
      </c>
      <c r="E29">
        <v>2</v>
      </c>
      <c r="F29" t="s">
        <v>13</v>
      </c>
      <c r="G29" t="s">
        <v>13</v>
      </c>
      <c r="H29" s="1">
        <v>0.2928</v>
      </c>
      <c r="I29" s="1">
        <v>0.46079999999999999</v>
      </c>
      <c r="J29" t="s">
        <v>192</v>
      </c>
    </row>
    <row r="30" spans="1:10" x14ac:dyDescent="0.25">
      <c r="A30" t="s">
        <v>9</v>
      </c>
      <c r="B30" t="s">
        <v>45</v>
      </c>
      <c r="C30" t="s">
        <v>11</v>
      </c>
      <c r="D30" t="s">
        <v>50</v>
      </c>
      <c r="E30">
        <v>3</v>
      </c>
      <c r="F30" t="s">
        <v>13</v>
      </c>
      <c r="G30" t="s">
        <v>13</v>
      </c>
      <c r="H30" s="1">
        <v>0.36830000000000002</v>
      </c>
      <c r="I30" s="1">
        <v>0.40100000000000002</v>
      </c>
      <c r="J30" t="s">
        <v>192</v>
      </c>
    </row>
    <row r="31" spans="1:10" x14ac:dyDescent="0.25">
      <c r="A31" t="s">
        <v>9</v>
      </c>
      <c r="B31" t="s">
        <v>51</v>
      </c>
      <c r="C31" t="s">
        <v>21</v>
      </c>
      <c r="D31" t="s">
        <v>52</v>
      </c>
      <c r="E31">
        <v>1</v>
      </c>
      <c r="F31" s="1">
        <v>0.57820000000000005</v>
      </c>
      <c r="G31" s="1">
        <v>0</v>
      </c>
      <c r="H31" s="1">
        <v>0</v>
      </c>
      <c r="I31" s="1">
        <v>0</v>
      </c>
      <c r="J31" t="s">
        <v>192</v>
      </c>
    </row>
    <row r="32" spans="1:10" x14ac:dyDescent="0.25">
      <c r="A32" t="s">
        <v>9</v>
      </c>
      <c r="B32" t="s">
        <v>51</v>
      </c>
      <c r="C32" t="s">
        <v>21</v>
      </c>
      <c r="D32" t="s">
        <v>53</v>
      </c>
      <c r="E32">
        <v>2</v>
      </c>
      <c r="F32" t="s">
        <v>13</v>
      </c>
      <c r="G32" s="1">
        <v>2.9100000000000001E-2</v>
      </c>
      <c r="H32" s="1">
        <v>2.81E-2</v>
      </c>
      <c r="I32" s="1">
        <v>7.0999999999999994E-2</v>
      </c>
      <c r="J32" t="s">
        <v>192</v>
      </c>
    </row>
    <row r="33" spans="1:10" x14ac:dyDescent="0.25">
      <c r="A33" t="s">
        <v>9</v>
      </c>
      <c r="B33" t="s">
        <v>51</v>
      </c>
      <c r="C33" t="s">
        <v>11</v>
      </c>
      <c r="D33" t="s">
        <v>54</v>
      </c>
      <c r="E33">
        <v>1</v>
      </c>
      <c r="F33" t="s">
        <v>13</v>
      </c>
      <c r="G33" t="s">
        <v>13</v>
      </c>
      <c r="H33" s="1">
        <v>0.39340000000000003</v>
      </c>
      <c r="I33" s="1">
        <v>0.43340000000000001</v>
      </c>
      <c r="J33" t="s">
        <v>192</v>
      </c>
    </row>
    <row r="34" spans="1:10" x14ac:dyDescent="0.25">
      <c r="A34" t="s">
        <v>9</v>
      </c>
      <c r="B34" t="s">
        <v>51</v>
      </c>
      <c r="C34" t="s">
        <v>11</v>
      </c>
      <c r="D34" t="s">
        <v>55</v>
      </c>
      <c r="E34">
        <v>2</v>
      </c>
      <c r="F34" t="s">
        <v>13</v>
      </c>
      <c r="G34" t="s">
        <v>13</v>
      </c>
      <c r="H34" s="1">
        <v>0.3619</v>
      </c>
      <c r="I34" s="1">
        <v>0.45639999999999997</v>
      </c>
      <c r="J34" t="s">
        <v>192</v>
      </c>
    </row>
    <row r="35" spans="1:10" x14ac:dyDescent="0.25">
      <c r="A35" t="s">
        <v>9</v>
      </c>
      <c r="B35" t="s">
        <v>51</v>
      </c>
      <c r="C35" t="s">
        <v>11</v>
      </c>
      <c r="D35" t="s">
        <v>56</v>
      </c>
      <c r="E35">
        <v>3</v>
      </c>
      <c r="F35" t="s">
        <v>13</v>
      </c>
      <c r="G35" t="s">
        <v>13</v>
      </c>
      <c r="H35" s="1">
        <v>0.51080000000000003</v>
      </c>
      <c r="I35" s="1">
        <v>0.46929999999999999</v>
      </c>
      <c r="J35" t="s">
        <v>192</v>
      </c>
    </row>
    <row r="36" spans="1:10" x14ac:dyDescent="0.25">
      <c r="A36" t="s">
        <v>9</v>
      </c>
      <c r="B36" t="s">
        <v>57</v>
      </c>
      <c r="C36" t="s">
        <v>11</v>
      </c>
      <c r="D36" t="s">
        <v>58</v>
      </c>
      <c r="E36">
        <v>3</v>
      </c>
      <c r="F36" t="s">
        <v>13</v>
      </c>
      <c r="G36" t="s">
        <v>13</v>
      </c>
      <c r="H36" s="1">
        <v>2.1000000000000001E-2</v>
      </c>
      <c r="I36" s="1">
        <v>3.7600000000000001E-2</v>
      </c>
      <c r="J36" t="s">
        <v>192</v>
      </c>
    </row>
    <row r="37" spans="1:10" x14ac:dyDescent="0.25">
      <c r="A37" t="s">
        <v>9</v>
      </c>
      <c r="B37" t="s">
        <v>59</v>
      </c>
      <c r="C37" t="s">
        <v>11</v>
      </c>
      <c r="D37" t="s">
        <v>60</v>
      </c>
      <c r="E37">
        <v>3</v>
      </c>
      <c r="F37" t="s">
        <v>13</v>
      </c>
      <c r="G37" t="s">
        <v>13</v>
      </c>
      <c r="H37" s="1">
        <v>0.42059999999999897</v>
      </c>
      <c r="I37" s="1">
        <v>0.30590000000000001</v>
      </c>
      <c r="J37" t="s">
        <v>192</v>
      </c>
    </row>
    <row r="38" spans="1:10" x14ac:dyDescent="0.25">
      <c r="A38" t="s">
        <v>9</v>
      </c>
      <c r="B38" t="s">
        <v>61</v>
      </c>
      <c r="C38" t="s">
        <v>21</v>
      </c>
      <c r="D38" t="s">
        <v>62</v>
      </c>
      <c r="E38">
        <v>1</v>
      </c>
      <c r="F38" s="1">
        <v>0.3866</v>
      </c>
      <c r="G38" s="1">
        <v>0.10390000000000001</v>
      </c>
      <c r="H38" s="1">
        <v>0.1789</v>
      </c>
      <c r="I38" s="1">
        <v>0.16539999999999999</v>
      </c>
      <c r="J38" t="s">
        <v>192</v>
      </c>
    </row>
    <row r="39" spans="1:10" x14ac:dyDescent="0.25">
      <c r="A39" t="s">
        <v>9</v>
      </c>
      <c r="B39" t="s">
        <v>61</v>
      </c>
      <c r="C39" t="s">
        <v>21</v>
      </c>
      <c r="D39" t="s">
        <v>63</v>
      </c>
      <c r="E39">
        <v>2</v>
      </c>
      <c r="F39" t="s">
        <v>13</v>
      </c>
      <c r="G39" s="1">
        <v>0.1704</v>
      </c>
      <c r="H39" s="1">
        <v>0.20100000000000001</v>
      </c>
      <c r="I39" s="1">
        <v>0.28189999999999898</v>
      </c>
      <c r="J39" t="s">
        <v>192</v>
      </c>
    </row>
    <row r="40" spans="1:10" x14ac:dyDescent="0.25">
      <c r="A40" t="s">
        <v>9</v>
      </c>
      <c r="B40" t="s">
        <v>61</v>
      </c>
      <c r="C40" t="s">
        <v>11</v>
      </c>
      <c r="D40" t="s">
        <v>64</v>
      </c>
      <c r="E40">
        <v>1</v>
      </c>
      <c r="F40" t="s">
        <v>13</v>
      </c>
      <c r="G40" t="s">
        <v>13</v>
      </c>
      <c r="H40" s="1">
        <v>0.1971</v>
      </c>
      <c r="I40" s="1">
        <v>0.26019999999999999</v>
      </c>
      <c r="J40" t="s">
        <v>192</v>
      </c>
    </row>
    <row r="41" spans="1:10" x14ac:dyDescent="0.25">
      <c r="A41" t="s">
        <v>9</v>
      </c>
      <c r="B41" t="s">
        <v>61</v>
      </c>
      <c r="C41" t="s">
        <v>11</v>
      </c>
      <c r="D41" t="s">
        <v>65</v>
      </c>
      <c r="E41">
        <v>2</v>
      </c>
      <c r="F41" t="s">
        <v>13</v>
      </c>
      <c r="G41" t="s">
        <v>13</v>
      </c>
      <c r="H41" s="1">
        <v>0.26190000000000002</v>
      </c>
      <c r="I41" s="1">
        <v>0.39379999999999898</v>
      </c>
      <c r="J41" t="s">
        <v>192</v>
      </c>
    </row>
    <row r="42" spans="1:10" x14ac:dyDescent="0.25">
      <c r="A42" t="s">
        <v>9</v>
      </c>
      <c r="B42" t="s">
        <v>61</v>
      </c>
      <c r="C42" t="s">
        <v>11</v>
      </c>
      <c r="D42" t="s">
        <v>66</v>
      </c>
      <c r="E42">
        <v>3</v>
      </c>
      <c r="F42" t="s">
        <v>13</v>
      </c>
      <c r="G42" t="s">
        <v>13</v>
      </c>
      <c r="H42" s="1">
        <v>0.4541</v>
      </c>
      <c r="I42" s="1">
        <v>0.37280000000000002</v>
      </c>
      <c r="J42" t="s">
        <v>192</v>
      </c>
    </row>
    <row r="43" spans="1:10" x14ac:dyDescent="0.25">
      <c r="A43" t="s">
        <v>9</v>
      </c>
      <c r="B43" t="s">
        <v>67</v>
      </c>
      <c r="C43" t="s">
        <v>21</v>
      </c>
      <c r="D43" t="s">
        <v>68</v>
      </c>
      <c r="E43">
        <v>1</v>
      </c>
      <c r="F43" s="1">
        <v>0.37790000000000001</v>
      </c>
      <c r="G43" s="1">
        <v>0.14940000000000001</v>
      </c>
      <c r="H43" s="1">
        <v>0.17630000000000001</v>
      </c>
      <c r="I43" s="1">
        <v>0.13150000000000001</v>
      </c>
      <c r="J43" t="s">
        <v>192</v>
      </c>
    </row>
    <row r="44" spans="1:10" x14ac:dyDescent="0.25">
      <c r="A44" t="s">
        <v>9</v>
      </c>
      <c r="B44" t="s">
        <v>67</v>
      </c>
      <c r="C44" t="s">
        <v>21</v>
      </c>
      <c r="D44" t="s">
        <v>69</v>
      </c>
      <c r="E44">
        <v>2</v>
      </c>
      <c r="F44" t="s">
        <v>13</v>
      </c>
      <c r="G44" s="1">
        <v>0.16520000000000001</v>
      </c>
      <c r="H44" s="1">
        <v>0.27100000000000002</v>
      </c>
      <c r="I44" s="1">
        <v>0.186</v>
      </c>
      <c r="J44" t="s">
        <v>192</v>
      </c>
    </row>
    <row r="45" spans="1:10" x14ac:dyDescent="0.25">
      <c r="A45" t="s">
        <v>9</v>
      </c>
      <c r="B45" t="s">
        <v>67</v>
      </c>
      <c r="C45" t="s">
        <v>11</v>
      </c>
      <c r="D45" t="s">
        <v>70</v>
      </c>
      <c r="E45">
        <v>1</v>
      </c>
      <c r="F45" t="s">
        <v>13</v>
      </c>
      <c r="G45" t="s">
        <v>13</v>
      </c>
      <c r="H45" s="1">
        <v>0.1971</v>
      </c>
      <c r="I45" s="1">
        <v>0.1653</v>
      </c>
      <c r="J45" t="s">
        <v>192</v>
      </c>
    </row>
    <row r="46" spans="1:10" x14ac:dyDescent="0.25">
      <c r="A46" t="s">
        <v>9</v>
      </c>
      <c r="B46" t="s">
        <v>67</v>
      </c>
      <c r="C46" t="s">
        <v>11</v>
      </c>
      <c r="D46" t="s">
        <v>71</v>
      </c>
      <c r="E46">
        <v>2</v>
      </c>
      <c r="F46" t="s">
        <v>13</v>
      </c>
      <c r="G46" t="s">
        <v>13</v>
      </c>
      <c r="H46" s="1">
        <v>0.1827</v>
      </c>
      <c r="I46" s="1">
        <v>0.1545</v>
      </c>
      <c r="J46" t="s">
        <v>192</v>
      </c>
    </row>
    <row r="47" spans="1:10" x14ac:dyDescent="0.25">
      <c r="A47" t="s">
        <v>9</v>
      </c>
      <c r="B47" t="s">
        <v>67</v>
      </c>
      <c r="C47" t="s">
        <v>11</v>
      </c>
      <c r="D47" t="s">
        <v>72</v>
      </c>
      <c r="E47">
        <v>3</v>
      </c>
      <c r="F47" t="s">
        <v>13</v>
      </c>
      <c r="G47" t="s">
        <v>13</v>
      </c>
      <c r="H47" s="1">
        <v>0.51859999999999895</v>
      </c>
      <c r="I47" s="1">
        <v>0.26500000000000001</v>
      </c>
      <c r="J47" t="s">
        <v>192</v>
      </c>
    </row>
    <row r="48" spans="1:10" x14ac:dyDescent="0.25">
      <c r="A48" t="s">
        <v>73</v>
      </c>
      <c r="B48" t="s">
        <v>74</v>
      </c>
      <c r="C48" t="s">
        <v>21</v>
      </c>
      <c r="D48" t="s">
        <v>75</v>
      </c>
      <c r="E48">
        <v>1</v>
      </c>
      <c r="F48" s="1">
        <v>0.62</v>
      </c>
      <c r="G48" s="1">
        <v>0.35589999999999899</v>
      </c>
      <c r="H48" s="1">
        <v>0.37809999999999999</v>
      </c>
      <c r="I48" s="1">
        <v>0.32329999999999998</v>
      </c>
      <c r="J48" t="s">
        <v>193</v>
      </c>
    </row>
    <row r="49" spans="1:10" x14ac:dyDescent="0.25">
      <c r="A49" t="s">
        <v>73</v>
      </c>
      <c r="B49" t="s">
        <v>74</v>
      </c>
      <c r="C49" t="s">
        <v>21</v>
      </c>
      <c r="D49" t="s">
        <v>76</v>
      </c>
      <c r="E49">
        <v>2</v>
      </c>
      <c r="F49" t="s">
        <v>13</v>
      </c>
      <c r="G49" s="1">
        <v>0.35920000000000002</v>
      </c>
      <c r="H49" s="1">
        <v>0.3947</v>
      </c>
      <c r="I49" s="1">
        <v>0.30859999999999999</v>
      </c>
      <c r="J49" t="s">
        <v>193</v>
      </c>
    </row>
    <row r="50" spans="1:10" x14ac:dyDescent="0.25">
      <c r="A50" t="s">
        <v>73</v>
      </c>
      <c r="B50" t="s">
        <v>74</v>
      </c>
      <c r="C50" t="s">
        <v>11</v>
      </c>
      <c r="D50" t="s">
        <v>77</v>
      </c>
      <c r="E50">
        <v>1</v>
      </c>
      <c r="F50" t="s">
        <v>13</v>
      </c>
      <c r="G50" t="s">
        <v>13</v>
      </c>
      <c r="H50" s="1">
        <v>0.44259999999999999</v>
      </c>
      <c r="I50" s="1">
        <v>0.29809999999999998</v>
      </c>
      <c r="J50" t="s">
        <v>193</v>
      </c>
    </row>
    <row r="51" spans="1:10" x14ac:dyDescent="0.25">
      <c r="A51" t="s">
        <v>73</v>
      </c>
      <c r="B51" t="s">
        <v>74</v>
      </c>
      <c r="C51" t="s">
        <v>11</v>
      </c>
      <c r="D51" t="s">
        <v>78</v>
      </c>
      <c r="E51">
        <v>2</v>
      </c>
      <c r="F51" t="s">
        <v>13</v>
      </c>
      <c r="G51" t="s">
        <v>13</v>
      </c>
      <c r="H51" s="1">
        <v>0.433</v>
      </c>
      <c r="I51" s="1">
        <v>0.36570000000000003</v>
      </c>
      <c r="J51" t="s">
        <v>193</v>
      </c>
    </row>
    <row r="52" spans="1:10" x14ac:dyDescent="0.25">
      <c r="A52" t="s">
        <v>73</v>
      </c>
      <c r="B52" t="s">
        <v>74</v>
      </c>
      <c r="C52" t="s">
        <v>11</v>
      </c>
      <c r="D52" t="s">
        <v>79</v>
      </c>
      <c r="E52">
        <v>3</v>
      </c>
      <c r="F52" t="s">
        <v>13</v>
      </c>
      <c r="G52" t="s">
        <v>13</v>
      </c>
      <c r="H52" s="1">
        <v>0.57230000000000003</v>
      </c>
      <c r="I52" s="1">
        <v>0.50560000000000005</v>
      </c>
      <c r="J52" t="s">
        <v>193</v>
      </c>
    </row>
    <row r="53" spans="1:10" x14ac:dyDescent="0.25">
      <c r="A53" t="s">
        <v>73</v>
      </c>
      <c r="B53" t="s">
        <v>80</v>
      </c>
      <c r="C53" t="s">
        <v>21</v>
      </c>
      <c r="D53" t="s">
        <v>81</v>
      </c>
      <c r="E53">
        <v>1</v>
      </c>
      <c r="F53" s="1">
        <v>0.44650000000000001</v>
      </c>
      <c r="G53" s="1">
        <v>0.10929999999999999</v>
      </c>
      <c r="H53" s="1">
        <v>0.1197</v>
      </c>
      <c r="I53" s="1">
        <v>0.45739999999999897</v>
      </c>
      <c r="J53" t="s">
        <v>193</v>
      </c>
    </row>
    <row r="54" spans="1:10" x14ac:dyDescent="0.25">
      <c r="A54" t="s">
        <v>73</v>
      </c>
      <c r="B54" t="s">
        <v>80</v>
      </c>
      <c r="C54" t="s">
        <v>21</v>
      </c>
      <c r="D54" t="s">
        <v>82</v>
      </c>
      <c r="E54">
        <v>2</v>
      </c>
      <c r="F54" t="s">
        <v>13</v>
      </c>
      <c r="G54" s="1">
        <v>0.13350000000000001</v>
      </c>
      <c r="H54" s="1">
        <v>0.13120000000000001</v>
      </c>
      <c r="I54" s="1">
        <v>0.47410000000000002</v>
      </c>
      <c r="J54" t="s">
        <v>193</v>
      </c>
    </row>
    <row r="55" spans="1:10" x14ac:dyDescent="0.25">
      <c r="A55" t="s">
        <v>73</v>
      </c>
      <c r="B55" t="s">
        <v>80</v>
      </c>
      <c r="C55" t="s">
        <v>11</v>
      </c>
      <c r="D55" t="s">
        <v>83</v>
      </c>
      <c r="E55">
        <v>1</v>
      </c>
      <c r="F55" t="s">
        <v>13</v>
      </c>
      <c r="G55" t="s">
        <v>13</v>
      </c>
      <c r="H55" s="1">
        <v>0.11840000000000001</v>
      </c>
      <c r="I55" s="1">
        <v>0.43120000000000003</v>
      </c>
      <c r="J55" t="s">
        <v>193</v>
      </c>
    </row>
    <row r="56" spans="1:10" x14ac:dyDescent="0.25">
      <c r="A56" t="s">
        <v>73</v>
      </c>
      <c r="B56" t="s">
        <v>80</v>
      </c>
      <c r="C56" t="s">
        <v>11</v>
      </c>
      <c r="D56" t="s">
        <v>84</v>
      </c>
      <c r="E56">
        <v>2</v>
      </c>
      <c r="F56" t="s">
        <v>13</v>
      </c>
      <c r="G56" t="s">
        <v>13</v>
      </c>
      <c r="H56" s="1">
        <v>0.16239999999999999</v>
      </c>
      <c r="I56" s="1">
        <v>0.48549999999999999</v>
      </c>
      <c r="J56" t="s">
        <v>193</v>
      </c>
    </row>
    <row r="57" spans="1:10" x14ac:dyDescent="0.25">
      <c r="A57" t="s">
        <v>73</v>
      </c>
      <c r="B57" t="s">
        <v>80</v>
      </c>
      <c r="C57" t="s">
        <v>11</v>
      </c>
      <c r="D57" t="s">
        <v>85</v>
      </c>
      <c r="E57">
        <v>3</v>
      </c>
      <c r="F57" t="s">
        <v>13</v>
      </c>
      <c r="G57" t="s">
        <v>13</v>
      </c>
      <c r="H57" s="1">
        <v>0.40660000000000002</v>
      </c>
      <c r="I57" s="1">
        <v>0.44009999999999999</v>
      </c>
      <c r="J57" t="s">
        <v>193</v>
      </c>
    </row>
    <row r="58" spans="1:10" x14ac:dyDescent="0.25">
      <c r="A58" t="s">
        <v>73</v>
      </c>
      <c r="B58" t="s">
        <v>86</v>
      </c>
      <c r="C58" t="s">
        <v>21</v>
      </c>
      <c r="D58" t="s">
        <v>87</v>
      </c>
      <c r="E58">
        <v>1</v>
      </c>
      <c r="F58" s="1">
        <v>0.6351</v>
      </c>
      <c r="G58" s="1">
        <v>0.41699999999999898</v>
      </c>
      <c r="H58" s="1">
        <v>0.42259999999999998</v>
      </c>
      <c r="I58" s="1">
        <v>0.36699999999999999</v>
      </c>
      <c r="J58" t="s">
        <v>193</v>
      </c>
    </row>
    <row r="59" spans="1:10" x14ac:dyDescent="0.25">
      <c r="A59" t="s">
        <v>73</v>
      </c>
      <c r="B59" t="s">
        <v>86</v>
      </c>
      <c r="C59" t="s">
        <v>21</v>
      </c>
      <c r="D59" t="s">
        <v>88</v>
      </c>
      <c r="E59">
        <v>2</v>
      </c>
      <c r="F59" t="s">
        <v>13</v>
      </c>
      <c r="G59" s="1">
        <v>0.44090000000000001</v>
      </c>
      <c r="H59" s="1">
        <v>0.45329999999999998</v>
      </c>
      <c r="I59" s="1">
        <v>0.54159999999999997</v>
      </c>
      <c r="J59" t="s">
        <v>193</v>
      </c>
    </row>
    <row r="60" spans="1:10" x14ac:dyDescent="0.25">
      <c r="A60" t="s">
        <v>73</v>
      </c>
      <c r="B60" t="s">
        <v>86</v>
      </c>
      <c r="C60" t="s">
        <v>11</v>
      </c>
      <c r="D60" t="s">
        <v>89</v>
      </c>
      <c r="E60">
        <v>1</v>
      </c>
      <c r="F60" t="s">
        <v>13</v>
      </c>
      <c r="G60" t="s">
        <v>13</v>
      </c>
      <c r="H60" s="1">
        <v>0.434</v>
      </c>
      <c r="I60" s="1">
        <v>0.4239</v>
      </c>
      <c r="J60" t="s">
        <v>193</v>
      </c>
    </row>
    <row r="61" spans="1:10" x14ac:dyDescent="0.25">
      <c r="A61" t="s">
        <v>73</v>
      </c>
      <c r="B61" t="s">
        <v>86</v>
      </c>
      <c r="C61" t="s">
        <v>11</v>
      </c>
      <c r="D61" t="s">
        <v>90</v>
      </c>
      <c r="E61">
        <v>2</v>
      </c>
      <c r="F61" t="s">
        <v>13</v>
      </c>
      <c r="G61" t="s">
        <v>13</v>
      </c>
      <c r="H61" s="1">
        <v>0.45829999999999999</v>
      </c>
      <c r="I61" s="1">
        <v>0.49220000000000003</v>
      </c>
      <c r="J61" t="s">
        <v>193</v>
      </c>
    </row>
    <row r="62" spans="1:10" x14ac:dyDescent="0.25">
      <c r="A62" t="s">
        <v>73</v>
      </c>
      <c r="B62" t="s">
        <v>86</v>
      </c>
      <c r="C62" t="s">
        <v>11</v>
      </c>
      <c r="D62" t="s">
        <v>91</v>
      </c>
      <c r="E62">
        <v>3</v>
      </c>
      <c r="F62" t="s">
        <v>13</v>
      </c>
      <c r="G62" t="s">
        <v>13</v>
      </c>
      <c r="H62" s="1">
        <v>0.5877</v>
      </c>
      <c r="I62" s="1">
        <v>0.65090000000000003</v>
      </c>
      <c r="J62" t="s">
        <v>193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CCA9-C7FC-4679-9949-3544654A7E62}">
  <dimension ref="A3:Z24"/>
  <sheetViews>
    <sheetView topLeftCell="M1" workbookViewId="0">
      <selection activeCell="B7" sqref="B7:V23"/>
    </sheetView>
  </sheetViews>
  <sheetFormatPr defaultRowHeight="13.8" x14ac:dyDescent="0.25"/>
  <cols>
    <col min="1" max="2" width="20.6640625" bestFit="1" customWidth="1"/>
    <col min="3" max="22" width="20.44140625" bestFit="1" customWidth="1"/>
    <col min="23" max="23" width="22.88671875" bestFit="1" customWidth="1"/>
    <col min="24" max="24" width="23" bestFit="1" customWidth="1"/>
    <col min="25" max="25" width="19.21875" bestFit="1" customWidth="1"/>
    <col min="26" max="26" width="24.88671875" bestFit="1" customWidth="1"/>
    <col min="27" max="27" width="25.109375" bestFit="1" customWidth="1"/>
    <col min="28" max="28" width="21.33203125" bestFit="1" customWidth="1"/>
    <col min="29" max="29" width="26.88671875" bestFit="1" customWidth="1"/>
    <col min="30" max="30" width="22.88671875" bestFit="1" customWidth="1"/>
    <col min="31" max="31" width="23" bestFit="1" customWidth="1"/>
    <col min="32" max="32" width="19.21875" bestFit="1" customWidth="1"/>
    <col min="33" max="33" width="24.88671875" bestFit="1" customWidth="1"/>
  </cols>
  <sheetData>
    <row r="3" spans="1:26" x14ac:dyDescent="0.25">
      <c r="C3" s="2" t="s">
        <v>2</v>
      </c>
      <c r="D3" s="2" t="s">
        <v>4</v>
      </c>
      <c r="E3" s="2" t="s">
        <v>190</v>
      </c>
    </row>
    <row r="4" spans="1:26" x14ac:dyDescent="0.25">
      <c r="C4" t="s">
        <v>21</v>
      </c>
      <c r="K4" t="s">
        <v>11</v>
      </c>
      <c r="W4" t="s">
        <v>182</v>
      </c>
      <c r="X4" t="s">
        <v>184</v>
      </c>
      <c r="Y4" t="s">
        <v>186</v>
      </c>
      <c r="Z4" t="s">
        <v>188</v>
      </c>
    </row>
    <row r="5" spans="1:26" x14ac:dyDescent="0.25">
      <c r="C5">
        <v>1</v>
      </c>
      <c r="G5">
        <v>2</v>
      </c>
      <c r="K5">
        <v>1</v>
      </c>
      <c r="O5">
        <v>2</v>
      </c>
      <c r="S5">
        <v>3</v>
      </c>
    </row>
    <row r="6" spans="1:26" x14ac:dyDescent="0.25">
      <c r="A6" s="2" t="s">
        <v>191</v>
      </c>
      <c r="B6" s="2" t="s">
        <v>1</v>
      </c>
      <c r="C6" t="s">
        <v>183</v>
      </c>
      <c r="D6" t="s">
        <v>185</v>
      </c>
      <c r="E6" t="s">
        <v>187</v>
      </c>
      <c r="F6" t="s">
        <v>189</v>
      </c>
      <c r="G6" t="s">
        <v>183</v>
      </c>
      <c r="H6" t="s">
        <v>185</v>
      </c>
      <c r="I6" t="s">
        <v>187</v>
      </c>
      <c r="J6" t="s">
        <v>189</v>
      </c>
      <c r="K6" t="s">
        <v>183</v>
      </c>
      <c r="L6" t="s">
        <v>185</v>
      </c>
      <c r="M6" t="s">
        <v>187</v>
      </c>
      <c r="N6" t="s">
        <v>189</v>
      </c>
      <c r="O6" t="s">
        <v>183</v>
      </c>
      <c r="P6" t="s">
        <v>185</v>
      </c>
      <c r="Q6" t="s">
        <v>187</v>
      </c>
      <c r="R6" t="s">
        <v>189</v>
      </c>
      <c r="S6" t="s">
        <v>183</v>
      </c>
      <c r="T6" t="s">
        <v>185</v>
      </c>
      <c r="U6" t="s">
        <v>187</v>
      </c>
      <c r="V6" t="s">
        <v>189</v>
      </c>
    </row>
    <row r="7" spans="1:26" x14ac:dyDescent="0.25">
      <c r="A7" t="s">
        <v>193</v>
      </c>
      <c r="B7" t="s">
        <v>74</v>
      </c>
      <c r="C7" s="5">
        <v>0.5978</v>
      </c>
      <c r="D7" s="5">
        <v>0.2283</v>
      </c>
      <c r="E7" s="1">
        <v>0.27760000000000001</v>
      </c>
      <c r="F7" s="1">
        <v>0.41210000000000002</v>
      </c>
      <c r="G7" s="5" t="e">
        <v>#DIV/0!</v>
      </c>
      <c r="H7" s="5">
        <v>0.23780000000000001</v>
      </c>
      <c r="I7" s="1">
        <v>0.2732</v>
      </c>
      <c r="J7" s="1">
        <v>0.48599999999999999</v>
      </c>
      <c r="K7" s="5" t="e">
        <v>#DIV/0!</v>
      </c>
      <c r="L7" s="5" t="e">
        <v>#DIV/0!</v>
      </c>
      <c r="M7" s="1">
        <v>0.30409999999999898</v>
      </c>
      <c r="N7" s="1">
        <v>0.40550000000000003</v>
      </c>
      <c r="O7" s="5" t="e">
        <v>#DIV/0!</v>
      </c>
      <c r="P7" s="5" t="e">
        <v>#DIV/0!</v>
      </c>
      <c r="Q7" s="1">
        <v>0.3306</v>
      </c>
      <c r="R7" s="1">
        <v>0.52039999999999997</v>
      </c>
      <c r="S7" s="5" t="e">
        <v>#DIV/0!</v>
      </c>
      <c r="T7" s="5" t="e">
        <v>#DIV/0!</v>
      </c>
      <c r="U7" s="1">
        <v>0.55959999999999999</v>
      </c>
      <c r="V7" s="1">
        <v>0.53190000000000004</v>
      </c>
      <c r="W7" s="5">
        <v>0.5978</v>
      </c>
      <c r="X7" s="5">
        <v>0.23305000000000001</v>
      </c>
      <c r="Y7" s="1">
        <v>0.34901999999999977</v>
      </c>
      <c r="Z7" s="1">
        <v>0.47118000000000004</v>
      </c>
    </row>
    <row r="8" spans="1:26" x14ac:dyDescent="0.25">
      <c r="B8" t="s">
        <v>80</v>
      </c>
      <c r="C8" s="5">
        <v>0.50270000000000004</v>
      </c>
      <c r="D8" s="5">
        <v>9.1499999999999998E-2</v>
      </c>
      <c r="E8" s="1">
        <v>0.1507</v>
      </c>
      <c r="F8" s="1">
        <v>0.48720000000000002</v>
      </c>
      <c r="G8" s="5" t="e">
        <v>#DIV/0!</v>
      </c>
      <c r="H8" s="5">
        <v>0.113799999999999</v>
      </c>
      <c r="I8" s="1">
        <v>0.16009999999999899</v>
      </c>
      <c r="J8" s="1">
        <v>0.44</v>
      </c>
      <c r="K8" s="5" t="e">
        <v>#DIV/0!</v>
      </c>
      <c r="L8" s="5" t="e">
        <v>#DIV/0!</v>
      </c>
      <c r="M8" s="1">
        <v>0.1641</v>
      </c>
      <c r="N8" s="1">
        <v>0.49509999999999998</v>
      </c>
      <c r="O8" s="5" t="e">
        <v>#DIV/0!</v>
      </c>
      <c r="P8" s="5" t="e">
        <v>#DIV/0!</v>
      </c>
      <c r="Q8" s="1">
        <v>0.20749999999999999</v>
      </c>
      <c r="R8" s="1">
        <v>0.48899999999999999</v>
      </c>
      <c r="S8" s="5" t="e">
        <v>#DIV/0!</v>
      </c>
      <c r="T8" s="5" t="e">
        <v>#DIV/0!</v>
      </c>
      <c r="U8" s="1">
        <v>0.42980000000000002</v>
      </c>
      <c r="V8" s="1">
        <v>0.42280000000000001</v>
      </c>
      <c r="W8" s="5">
        <v>0.50270000000000004</v>
      </c>
      <c r="X8" s="5">
        <v>0.10264999999999949</v>
      </c>
      <c r="Y8" s="1">
        <v>0.2224399999999998</v>
      </c>
      <c r="Z8" s="1">
        <v>0.46681999999999996</v>
      </c>
    </row>
    <row r="9" spans="1:26" x14ac:dyDescent="0.25">
      <c r="B9" t="s">
        <v>86</v>
      </c>
      <c r="C9" s="5">
        <v>0.63739999999999897</v>
      </c>
      <c r="D9" s="5">
        <v>0.30549999999999999</v>
      </c>
      <c r="E9" s="1">
        <v>0.32390000000000002</v>
      </c>
      <c r="F9" s="1">
        <v>0.51959999999999895</v>
      </c>
      <c r="G9" s="5" t="e">
        <v>#DIV/0!</v>
      </c>
      <c r="H9" s="5">
        <v>0.31009999999999899</v>
      </c>
      <c r="I9" s="1">
        <v>0.34</v>
      </c>
      <c r="J9" s="1">
        <v>0.58509999999999995</v>
      </c>
      <c r="K9" s="5" t="e">
        <v>#DIV/0!</v>
      </c>
      <c r="L9" s="5" t="e">
        <v>#DIV/0!</v>
      </c>
      <c r="M9" s="1">
        <v>0.29970000000000002</v>
      </c>
      <c r="N9" s="1">
        <v>0.46450000000000002</v>
      </c>
      <c r="O9" s="5" t="e">
        <v>#DIV/0!</v>
      </c>
      <c r="P9" s="5" t="e">
        <v>#DIV/0!</v>
      </c>
      <c r="Q9" s="1">
        <v>0.34339999999999898</v>
      </c>
      <c r="R9" s="1">
        <v>0.56999999999999895</v>
      </c>
      <c r="S9" s="5" t="e">
        <v>#DIV/0!</v>
      </c>
      <c r="T9" s="5" t="e">
        <v>#DIV/0!</v>
      </c>
      <c r="U9" s="1">
        <v>0.60209999999999897</v>
      </c>
      <c r="V9" s="1">
        <v>0.59119999999999995</v>
      </c>
      <c r="W9" s="5">
        <v>0.63739999999999897</v>
      </c>
      <c r="X9" s="5">
        <v>0.30779999999999952</v>
      </c>
      <c r="Y9" s="1">
        <v>0.3818199999999996</v>
      </c>
      <c r="Z9" s="1">
        <v>0.54607999999999957</v>
      </c>
    </row>
    <row r="10" spans="1:26" x14ac:dyDescent="0.25">
      <c r="A10" t="s">
        <v>192</v>
      </c>
      <c r="B10" t="s">
        <v>10</v>
      </c>
      <c r="C10" s="5"/>
      <c r="D10" s="5"/>
      <c r="E10" s="1"/>
      <c r="F10" s="1"/>
      <c r="G10" s="5"/>
      <c r="H10" s="5"/>
      <c r="I10" s="1"/>
      <c r="J10" s="1"/>
      <c r="K10" s="5"/>
      <c r="L10" s="5"/>
      <c r="M10" s="1"/>
      <c r="N10" s="1"/>
      <c r="O10" s="5"/>
      <c r="P10" s="5"/>
      <c r="Q10" s="1"/>
      <c r="R10" s="1"/>
      <c r="S10" s="5" t="e">
        <v>#DIV/0!</v>
      </c>
      <c r="T10" s="5" t="e">
        <v>#DIV/0!</v>
      </c>
      <c r="U10" s="1">
        <v>0.1106</v>
      </c>
      <c r="V10" s="1">
        <v>0.1215</v>
      </c>
      <c r="W10" s="5" t="e">
        <v>#DIV/0!</v>
      </c>
      <c r="X10" s="5" t="e">
        <v>#DIV/0!</v>
      </c>
      <c r="Y10" s="1">
        <v>0.1106</v>
      </c>
      <c r="Z10" s="1">
        <v>0.1215</v>
      </c>
    </row>
    <row r="11" spans="1:26" x14ac:dyDescent="0.25">
      <c r="B11" t="s">
        <v>14</v>
      </c>
      <c r="C11" s="5"/>
      <c r="D11" s="5"/>
      <c r="E11" s="1"/>
      <c r="F11" s="1"/>
      <c r="G11" s="5"/>
      <c r="H11" s="5"/>
      <c r="I11" s="1"/>
      <c r="J11" s="1"/>
      <c r="K11" s="5"/>
      <c r="L11" s="5"/>
      <c r="M11" s="1"/>
      <c r="N11" s="1"/>
      <c r="O11" s="5"/>
      <c r="P11" s="5"/>
      <c r="Q11" s="1"/>
      <c r="R11" s="1"/>
      <c r="S11" s="5" t="e">
        <v>#DIV/0!</v>
      </c>
      <c r="T11" s="5" t="e">
        <v>#DIV/0!</v>
      </c>
      <c r="U11" s="1">
        <v>6.3200000000000006E-2</v>
      </c>
      <c r="V11" s="1">
        <v>2.4899999999999999E-2</v>
      </c>
      <c r="W11" s="5" t="e">
        <v>#DIV/0!</v>
      </c>
      <c r="X11" s="5" t="e">
        <v>#DIV/0!</v>
      </c>
      <c r="Y11" s="1">
        <v>6.3200000000000006E-2</v>
      </c>
      <c r="Z11" s="1">
        <v>2.4899999999999999E-2</v>
      </c>
    </row>
    <row r="12" spans="1:26" x14ac:dyDescent="0.25">
      <c r="B12" t="s">
        <v>16</v>
      </c>
      <c r="C12" s="5"/>
      <c r="D12" s="5"/>
      <c r="E12" s="1"/>
      <c r="F12" s="1"/>
      <c r="G12" s="5"/>
      <c r="H12" s="5"/>
      <c r="I12" s="1"/>
      <c r="J12" s="1"/>
      <c r="K12" s="5"/>
      <c r="L12" s="5"/>
      <c r="M12" s="1"/>
      <c r="N12" s="1"/>
      <c r="O12" s="5"/>
      <c r="P12" s="5"/>
      <c r="Q12" s="1"/>
      <c r="R12" s="1"/>
      <c r="S12" s="5" t="e">
        <v>#DIV/0!</v>
      </c>
      <c r="T12" s="5" t="e">
        <v>#DIV/0!</v>
      </c>
      <c r="U12" s="1">
        <v>0.2233</v>
      </c>
      <c r="V12" s="1">
        <v>8.6699999999999999E-2</v>
      </c>
      <c r="W12" s="5" t="e">
        <v>#DIV/0!</v>
      </c>
      <c r="X12" s="5" t="e">
        <v>#DIV/0!</v>
      </c>
      <c r="Y12" s="1">
        <v>0.2233</v>
      </c>
      <c r="Z12" s="1">
        <v>8.6699999999999999E-2</v>
      </c>
    </row>
    <row r="13" spans="1:26" x14ac:dyDescent="0.25">
      <c r="B13" t="s">
        <v>18</v>
      </c>
      <c r="C13" s="5"/>
      <c r="D13" s="5"/>
      <c r="E13" s="1"/>
      <c r="F13" s="1"/>
      <c r="G13" s="5"/>
      <c r="H13" s="5"/>
      <c r="I13" s="1"/>
      <c r="J13" s="1"/>
      <c r="K13" s="5"/>
      <c r="L13" s="5"/>
      <c r="M13" s="1"/>
      <c r="N13" s="1"/>
      <c r="O13" s="5"/>
      <c r="P13" s="5"/>
      <c r="Q13" s="1"/>
      <c r="R13" s="1"/>
      <c r="S13" s="5" t="e">
        <v>#DIV/0!</v>
      </c>
      <c r="T13" s="5" t="e">
        <v>#DIV/0!</v>
      </c>
      <c r="U13" s="1">
        <v>0.2515</v>
      </c>
      <c r="V13" s="1">
        <v>1.09E-2</v>
      </c>
      <c r="W13" s="5" t="e">
        <v>#DIV/0!</v>
      </c>
      <c r="X13" s="5" t="e">
        <v>#DIV/0!</v>
      </c>
      <c r="Y13" s="1">
        <v>0.2515</v>
      </c>
      <c r="Z13" s="1">
        <v>1.09E-2</v>
      </c>
    </row>
    <row r="14" spans="1:26" x14ac:dyDescent="0.25">
      <c r="B14" t="s">
        <v>20</v>
      </c>
      <c r="C14" s="5">
        <v>0.621</v>
      </c>
      <c r="D14" s="5">
        <v>0.1658</v>
      </c>
      <c r="E14" s="1">
        <v>0.193</v>
      </c>
      <c r="F14" s="1">
        <v>0.4516</v>
      </c>
      <c r="G14" s="5" t="e">
        <v>#DIV/0!</v>
      </c>
      <c r="H14" s="5">
        <v>0.17080000000000001</v>
      </c>
      <c r="I14" s="1">
        <v>0.17780000000000001</v>
      </c>
      <c r="J14" s="1">
        <v>0.30640000000000001</v>
      </c>
      <c r="K14" s="5" t="e">
        <v>#DIV/0!</v>
      </c>
      <c r="L14" s="5" t="e">
        <v>#DIV/0!</v>
      </c>
      <c r="M14" s="1">
        <v>0.15620000000000001</v>
      </c>
      <c r="N14" s="1">
        <v>0.33329999999999999</v>
      </c>
      <c r="O14" s="5" t="e">
        <v>#DIV/0!</v>
      </c>
      <c r="P14" s="5" t="e">
        <v>#DIV/0!</v>
      </c>
      <c r="Q14" s="1">
        <v>0.23280000000000001</v>
      </c>
      <c r="R14" s="1">
        <v>0.54049999999999998</v>
      </c>
      <c r="S14" s="5" t="e">
        <v>#DIV/0!</v>
      </c>
      <c r="T14" s="5" t="e">
        <v>#DIV/0!</v>
      </c>
      <c r="U14" s="1">
        <v>0.36409999999999998</v>
      </c>
      <c r="V14" s="1">
        <v>0.31769999999999998</v>
      </c>
      <c r="W14" s="5">
        <v>0.621</v>
      </c>
      <c r="X14" s="5">
        <v>0.16830000000000001</v>
      </c>
      <c r="Y14" s="1">
        <v>0.22477999999999998</v>
      </c>
      <c r="Z14" s="1">
        <v>0.38990000000000002</v>
      </c>
    </row>
    <row r="15" spans="1:26" x14ac:dyDescent="0.25">
      <c r="B15" t="s">
        <v>27</v>
      </c>
      <c r="C15" s="5">
        <v>0.65249999999999997</v>
      </c>
      <c r="D15" s="5">
        <v>0.2263</v>
      </c>
      <c r="E15" s="1">
        <v>0.2611</v>
      </c>
      <c r="F15" s="1">
        <v>0.45979999999999999</v>
      </c>
      <c r="G15" s="5" t="e">
        <v>#DIV/0!</v>
      </c>
      <c r="H15" s="5">
        <v>0.21990000000000001</v>
      </c>
      <c r="I15" s="1">
        <v>0.21740000000000001</v>
      </c>
      <c r="J15" s="1">
        <v>0.38950000000000001</v>
      </c>
      <c r="K15" s="5" t="e">
        <v>#DIV/0!</v>
      </c>
      <c r="L15" s="5" t="e">
        <v>#DIV/0!</v>
      </c>
      <c r="M15" s="1">
        <v>0.2097</v>
      </c>
      <c r="N15" s="1">
        <v>0.50660000000000005</v>
      </c>
      <c r="O15" s="5" t="e">
        <v>#DIV/0!</v>
      </c>
      <c r="P15" s="5" t="e">
        <v>#DIV/0!</v>
      </c>
      <c r="Q15" s="1">
        <v>0.2084</v>
      </c>
      <c r="R15" s="1">
        <v>0.34520000000000001</v>
      </c>
      <c r="S15" s="5" t="e">
        <v>#DIV/0!</v>
      </c>
      <c r="T15" s="5" t="e">
        <v>#DIV/0!</v>
      </c>
      <c r="U15" s="1">
        <v>0.51700000000000002</v>
      </c>
      <c r="V15" s="1">
        <v>0.40720000000000001</v>
      </c>
      <c r="W15" s="5">
        <v>0.65249999999999997</v>
      </c>
      <c r="X15" s="5">
        <v>0.22310000000000002</v>
      </c>
      <c r="Y15" s="1">
        <v>0.28272000000000003</v>
      </c>
      <c r="Z15" s="1">
        <v>0.42165999999999998</v>
      </c>
    </row>
    <row r="16" spans="1:26" x14ac:dyDescent="0.25">
      <c r="B16" t="s">
        <v>33</v>
      </c>
      <c r="C16" s="5">
        <v>0.64959999999999996</v>
      </c>
      <c r="D16" s="5">
        <v>0.17699999999999999</v>
      </c>
      <c r="E16" s="1">
        <v>0.23849999999999999</v>
      </c>
      <c r="F16" s="1">
        <v>0.32840000000000003</v>
      </c>
      <c r="G16" s="5" t="e">
        <v>#DIV/0!</v>
      </c>
      <c r="H16" s="5">
        <v>0.1109</v>
      </c>
      <c r="I16" s="1">
        <v>0.28389999999999999</v>
      </c>
      <c r="J16" s="1">
        <v>0.46110000000000001</v>
      </c>
      <c r="K16" s="5" t="e">
        <v>#DIV/0!</v>
      </c>
      <c r="L16" s="5" t="e">
        <v>#DIV/0!</v>
      </c>
      <c r="M16" s="1">
        <v>0.22589999999999999</v>
      </c>
      <c r="N16" s="1">
        <v>0.21809999999999999</v>
      </c>
      <c r="O16" s="5" t="e">
        <v>#DIV/0!</v>
      </c>
      <c r="P16" s="5" t="e">
        <v>#DIV/0!</v>
      </c>
      <c r="Q16" s="1">
        <v>0.31780000000000003</v>
      </c>
      <c r="R16" s="1">
        <v>0.36349999999999999</v>
      </c>
      <c r="S16" s="5" t="e">
        <v>#DIV/0!</v>
      </c>
      <c r="T16" s="5" t="e">
        <v>#DIV/0!</v>
      </c>
      <c r="U16" s="1">
        <v>0.40849999999999997</v>
      </c>
      <c r="V16" s="1">
        <v>0.2301</v>
      </c>
      <c r="W16" s="5">
        <v>0.64959999999999996</v>
      </c>
      <c r="X16" s="5">
        <v>0.14394999999999999</v>
      </c>
      <c r="Y16" s="1">
        <v>0.29492000000000002</v>
      </c>
      <c r="Z16" s="1">
        <v>0.32023999999999997</v>
      </c>
    </row>
    <row r="17" spans="1:26" x14ac:dyDescent="0.25">
      <c r="B17" t="s">
        <v>39</v>
      </c>
      <c r="C17" s="5">
        <v>4.1300000000000003E-2</v>
      </c>
      <c r="D17" s="5">
        <v>8.0299999999999996E-2</v>
      </c>
      <c r="E17" s="1">
        <v>5.8599999999999999E-2</v>
      </c>
      <c r="F17" s="1">
        <v>0</v>
      </c>
      <c r="G17" s="5" t="e">
        <v>#DIV/0!</v>
      </c>
      <c r="H17" s="5">
        <v>7.6700000000000004E-2</v>
      </c>
      <c r="I17" s="1">
        <v>3.4200000000000001E-2</v>
      </c>
      <c r="J17" s="1">
        <v>0</v>
      </c>
      <c r="K17" s="5" t="e">
        <v>#DIV/0!</v>
      </c>
      <c r="L17" s="5" t="e">
        <v>#DIV/0!</v>
      </c>
      <c r="M17" s="1">
        <v>8.09E-2</v>
      </c>
      <c r="N17" s="1">
        <v>9.4200000000000006E-2</v>
      </c>
      <c r="O17" s="5" t="e">
        <v>#DIV/0!</v>
      </c>
      <c r="P17" s="5" t="e">
        <v>#DIV/0!</v>
      </c>
      <c r="Q17" s="1">
        <v>3.4299999999999997E-2</v>
      </c>
      <c r="R17" s="1">
        <v>0</v>
      </c>
      <c r="S17" s="5" t="e">
        <v>#DIV/0!</v>
      </c>
      <c r="T17" s="5" t="e">
        <v>#DIV/0!</v>
      </c>
      <c r="U17" s="1">
        <v>7.7700000000000005E-2</v>
      </c>
      <c r="V17" s="1">
        <v>0</v>
      </c>
      <c r="W17" s="5">
        <v>4.1300000000000003E-2</v>
      </c>
      <c r="X17" s="5">
        <v>7.85E-2</v>
      </c>
      <c r="Y17" s="1">
        <v>5.7140000000000003E-2</v>
      </c>
      <c r="Z17" s="1">
        <v>1.8840000000000003E-2</v>
      </c>
    </row>
    <row r="18" spans="1:26" x14ac:dyDescent="0.25">
      <c r="B18" t="s">
        <v>45</v>
      </c>
      <c r="C18" s="5">
        <v>0.4919</v>
      </c>
      <c r="D18" s="5">
        <v>0.2142</v>
      </c>
      <c r="E18" s="1">
        <v>3.9100000000000003E-2</v>
      </c>
      <c r="F18" s="1">
        <v>6.6000000000000003E-2</v>
      </c>
      <c r="G18" s="5" t="e">
        <v>#DIV/0!</v>
      </c>
      <c r="H18" s="5">
        <v>0.1789</v>
      </c>
      <c r="I18" s="1">
        <v>7.1300000000000002E-2</v>
      </c>
      <c r="J18" s="1">
        <v>0.22020000000000001</v>
      </c>
      <c r="K18" s="5" t="e">
        <v>#DIV/0!</v>
      </c>
      <c r="L18" s="5" t="e">
        <v>#DIV/0!</v>
      </c>
      <c r="M18" s="1">
        <v>8.2000000000000007E-3</v>
      </c>
      <c r="N18" s="1">
        <v>1.7100000000000001E-2</v>
      </c>
      <c r="O18" s="5" t="e">
        <v>#DIV/0!</v>
      </c>
      <c r="P18" s="5" t="e">
        <v>#DIV/0!</v>
      </c>
      <c r="Q18" s="1">
        <v>6.0699999999999997E-2</v>
      </c>
      <c r="R18" s="1">
        <v>0.15920000000000001</v>
      </c>
      <c r="S18" s="5" t="e">
        <v>#DIV/0!</v>
      </c>
      <c r="T18" s="5" t="e">
        <v>#DIV/0!</v>
      </c>
      <c r="U18" s="1">
        <v>0.4753</v>
      </c>
      <c r="V18" s="1">
        <v>0.43919999999999998</v>
      </c>
      <c r="W18" s="5">
        <v>0.4919</v>
      </c>
      <c r="X18" s="5">
        <v>0.19655</v>
      </c>
      <c r="Y18" s="1">
        <v>0.13091999999999998</v>
      </c>
      <c r="Z18" s="1">
        <v>0.18034</v>
      </c>
    </row>
    <row r="19" spans="1:26" x14ac:dyDescent="0.25">
      <c r="B19" t="s">
        <v>51</v>
      </c>
      <c r="C19" s="5">
        <v>0.57809999999999995</v>
      </c>
      <c r="D19" s="5">
        <v>8.0399999999999999E-2</v>
      </c>
      <c r="E19" s="1">
        <v>0.151</v>
      </c>
      <c r="F19" s="1">
        <v>0.26050000000000001</v>
      </c>
      <c r="G19" s="5" t="e">
        <v>#DIV/0!</v>
      </c>
      <c r="H19" s="5">
        <v>8.9300000000000004E-2</v>
      </c>
      <c r="I19" s="1">
        <v>0.1794</v>
      </c>
      <c r="J19" s="1">
        <v>0.28050000000000003</v>
      </c>
      <c r="K19" s="5" t="e">
        <v>#DIV/0!</v>
      </c>
      <c r="L19" s="5" t="e">
        <v>#DIV/0!</v>
      </c>
      <c r="M19" s="1">
        <v>0.19409999999999999</v>
      </c>
      <c r="N19" s="1">
        <v>0.42509999999999998</v>
      </c>
      <c r="O19" s="5" t="e">
        <v>#DIV/0!</v>
      </c>
      <c r="P19" s="5" t="e">
        <v>#DIV/0!</v>
      </c>
      <c r="Q19" s="1">
        <v>0.2485</v>
      </c>
      <c r="R19" s="1">
        <v>0.43030000000000002</v>
      </c>
      <c r="S19" s="5" t="e">
        <v>#DIV/0!</v>
      </c>
      <c r="T19" s="5" t="e">
        <v>#DIV/0!</v>
      </c>
      <c r="U19" s="1">
        <v>0.55269999999999997</v>
      </c>
      <c r="V19" s="1">
        <v>0.38579999999999998</v>
      </c>
      <c r="W19" s="5">
        <v>0.57809999999999995</v>
      </c>
      <c r="X19" s="5">
        <v>8.4850000000000009E-2</v>
      </c>
      <c r="Y19" s="1">
        <v>0.26513999999999999</v>
      </c>
      <c r="Z19" s="1">
        <v>0.35643999999999998</v>
      </c>
    </row>
    <row r="20" spans="1:26" x14ac:dyDescent="0.25">
      <c r="B20" t="s">
        <v>57</v>
      </c>
      <c r="C20" s="5"/>
      <c r="D20" s="5"/>
      <c r="E20" s="1"/>
      <c r="F20" s="1"/>
      <c r="G20" s="5"/>
      <c r="H20" s="5"/>
      <c r="I20" s="1"/>
      <c r="J20" s="1"/>
      <c r="K20" s="5"/>
      <c r="L20" s="5"/>
      <c r="M20" s="1"/>
      <c r="N20" s="1"/>
      <c r="O20" s="5"/>
      <c r="P20" s="5"/>
      <c r="Q20" s="1"/>
      <c r="R20" s="1"/>
      <c r="S20" s="5" t="e">
        <v>#DIV/0!</v>
      </c>
      <c r="T20" s="5" t="e">
        <v>#DIV/0!</v>
      </c>
      <c r="U20" s="1">
        <v>0.35670000000000002</v>
      </c>
      <c r="V20" s="1">
        <v>0.33239999999999997</v>
      </c>
      <c r="W20" s="5" t="e">
        <v>#DIV/0!</v>
      </c>
      <c r="X20" s="5" t="e">
        <v>#DIV/0!</v>
      </c>
      <c r="Y20" s="1">
        <v>0.35670000000000002</v>
      </c>
      <c r="Z20" s="1">
        <v>0.33239999999999997</v>
      </c>
    </row>
    <row r="21" spans="1:26" x14ac:dyDescent="0.25">
      <c r="B21" t="s">
        <v>59</v>
      </c>
      <c r="C21" s="5"/>
      <c r="D21" s="5"/>
      <c r="E21" s="1"/>
      <c r="F21" s="1"/>
      <c r="G21" s="5"/>
      <c r="H21" s="5"/>
      <c r="I21" s="1"/>
      <c r="J21" s="1"/>
      <c r="K21" s="5"/>
      <c r="L21" s="5"/>
      <c r="M21" s="1"/>
      <c r="N21" s="1"/>
      <c r="O21" s="5"/>
      <c r="P21" s="5"/>
      <c r="Q21" s="1"/>
      <c r="R21" s="1"/>
      <c r="S21" s="5" t="e">
        <v>#DIV/0!</v>
      </c>
      <c r="T21" s="5" t="e">
        <v>#DIV/0!</v>
      </c>
      <c r="U21" s="1">
        <v>0.43759999999999999</v>
      </c>
      <c r="V21" s="1">
        <v>0.38440000000000002</v>
      </c>
      <c r="W21" s="5" t="e">
        <v>#DIV/0!</v>
      </c>
      <c r="X21" s="5" t="e">
        <v>#DIV/0!</v>
      </c>
      <c r="Y21" s="1">
        <v>0.43759999999999999</v>
      </c>
      <c r="Z21" s="1">
        <v>0.38440000000000002</v>
      </c>
    </row>
    <row r="22" spans="1:26" x14ac:dyDescent="0.25">
      <c r="B22" t="s">
        <v>61</v>
      </c>
      <c r="C22" s="5">
        <v>0.59930000000000005</v>
      </c>
      <c r="D22" s="5">
        <v>5.4199999999999998E-2</v>
      </c>
      <c r="E22" s="1">
        <v>0.192</v>
      </c>
      <c r="F22" s="1">
        <v>0.25169999999999998</v>
      </c>
      <c r="G22" s="5" t="e">
        <v>#DIV/0!</v>
      </c>
      <c r="H22" s="5">
        <v>6.25E-2</v>
      </c>
      <c r="I22" s="1">
        <v>0.2112</v>
      </c>
      <c r="J22" s="1">
        <v>0.3241</v>
      </c>
      <c r="K22" s="5" t="e">
        <v>#DIV/0!</v>
      </c>
      <c r="L22" s="5" t="e">
        <v>#DIV/0!</v>
      </c>
      <c r="M22" s="1">
        <v>0.21859999999999999</v>
      </c>
      <c r="N22" s="1">
        <v>0.35720000000000002</v>
      </c>
      <c r="O22" s="5" t="e">
        <v>#DIV/0!</v>
      </c>
      <c r="P22" s="5" t="e">
        <v>#DIV/0!</v>
      </c>
      <c r="Q22" s="1">
        <v>0.21190000000000001</v>
      </c>
      <c r="R22" s="1">
        <v>0.17299999999999999</v>
      </c>
      <c r="S22" s="5" t="e">
        <v>#DIV/0!</v>
      </c>
      <c r="T22" s="5" t="e">
        <v>#DIV/0!</v>
      </c>
      <c r="U22" s="1">
        <v>0.2843</v>
      </c>
      <c r="V22" s="1">
        <v>0.2243</v>
      </c>
      <c r="W22" s="5">
        <v>0.59930000000000005</v>
      </c>
      <c r="X22" s="5">
        <v>5.8349999999999999E-2</v>
      </c>
      <c r="Y22" s="1">
        <v>0.22359999999999997</v>
      </c>
      <c r="Z22" s="1">
        <v>0.26606000000000002</v>
      </c>
    </row>
    <row r="23" spans="1:26" x14ac:dyDescent="0.25">
      <c r="B23" t="s">
        <v>67</v>
      </c>
      <c r="C23" s="5">
        <v>0.38240000000000002</v>
      </c>
      <c r="D23" s="5">
        <v>6.8199999999999997E-2</v>
      </c>
      <c r="E23" s="1">
        <v>0.189</v>
      </c>
      <c r="F23" s="1">
        <v>0.38900000000000001</v>
      </c>
      <c r="G23" s="5" t="e">
        <v>#DIV/0!</v>
      </c>
      <c r="H23" s="5">
        <v>5.3600000000000002E-2</v>
      </c>
      <c r="I23" s="1">
        <v>0.186</v>
      </c>
      <c r="J23" s="1">
        <v>0.29010000000000002</v>
      </c>
      <c r="K23" s="5" t="e">
        <v>#DIV/0!</v>
      </c>
      <c r="L23" s="5" t="e">
        <v>#DIV/0!</v>
      </c>
      <c r="M23" s="1">
        <v>0.14530000000000001</v>
      </c>
      <c r="N23" s="1">
        <v>0.29220000000000002</v>
      </c>
      <c r="O23" s="5" t="e">
        <v>#DIV/0!</v>
      </c>
      <c r="P23" s="5" t="e">
        <v>#DIV/0!</v>
      </c>
      <c r="Q23" s="1">
        <v>6.2300000000000001E-2</v>
      </c>
      <c r="R23" s="1">
        <v>0.13719999999999999</v>
      </c>
      <c r="S23" s="5" t="e">
        <v>#DIV/0!</v>
      </c>
      <c r="T23" s="5" t="e">
        <v>#DIV/0!</v>
      </c>
      <c r="U23" s="1">
        <v>0.43219999999999997</v>
      </c>
      <c r="V23" s="1">
        <v>0.22919999999999999</v>
      </c>
      <c r="W23" s="5">
        <v>0.38240000000000002</v>
      </c>
      <c r="X23" s="5">
        <v>6.0899999999999996E-2</v>
      </c>
      <c r="Y23" s="1">
        <v>0.20295999999999997</v>
      </c>
      <c r="Z23" s="1">
        <v>0.26754</v>
      </c>
    </row>
    <row r="24" spans="1:26" x14ac:dyDescent="0.25">
      <c r="A24" t="s">
        <v>181</v>
      </c>
      <c r="C24" s="5">
        <v>0.52309090909090894</v>
      </c>
      <c r="D24" s="5">
        <v>0.15379090909090909</v>
      </c>
      <c r="E24" s="1">
        <v>0.18859090909090909</v>
      </c>
      <c r="F24" s="1">
        <v>0.3296272727272726</v>
      </c>
      <c r="G24" s="5" t="e">
        <v>#DIV/0!</v>
      </c>
      <c r="H24" s="5">
        <v>0.14766363636363619</v>
      </c>
      <c r="I24" s="1">
        <v>0.19404545454545447</v>
      </c>
      <c r="J24" s="1">
        <v>0.34390909090909094</v>
      </c>
      <c r="K24" s="5" t="e">
        <v>#DIV/0!</v>
      </c>
      <c r="L24" s="5" t="e">
        <v>#DIV/0!</v>
      </c>
      <c r="M24" s="1">
        <v>0.18243636363636354</v>
      </c>
      <c r="N24" s="1">
        <v>0.3280818181818182</v>
      </c>
      <c r="O24" s="5" t="e">
        <v>#DIV/0!</v>
      </c>
      <c r="P24" s="5" t="e">
        <v>#DIV/0!</v>
      </c>
      <c r="Q24" s="1">
        <v>0.205290909090909</v>
      </c>
      <c r="R24" s="1">
        <v>0.33893636363636354</v>
      </c>
      <c r="S24" s="5" t="e">
        <v>#DIV/0!</v>
      </c>
      <c r="T24" s="5" t="e">
        <v>#DIV/0!</v>
      </c>
      <c r="U24" s="1">
        <v>0.36154117647058814</v>
      </c>
      <c r="V24" s="1">
        <v>0.27883529411764707</v>
      </c>
      <c r="W24" s="5">
        <v>0.52309090909090894</v>
      </c>
      <c r="X24" s="5">
        <v>0.15072727272727263</v>
      </c>
      <c r="Y24" s="1">
        <v>0.2396754098360655</v>
      </c>
      <c r="Z24" s="1">
        <v>0.31944754098360656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4755-D361-41D4-9D0B-D194343BAE39}">
  <dimension ref="A1:J62"/>
  <sheetViews>
    <sheetView workbookViewId="0">
      <selection activeCell="L54" sqref="L54"/>
    </sheetView>
  </sheetViews>
  <sheetFormatPr defaultRowHeight="13.8" x14ac:dyDescent="0.25"/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210</v>
      </c>
    </row>
    <row r="2" spans="1:10" x14ac:dyDescent="0.25">
      <c r="A2" s="3" t="s">
        <v>195</v>
      </c>
      <c r="B2" s="3" t="s">
        <v>10</v>
      </c>
      <c r="C2" s="3" t="s">
        <v>11</v>
      </c>
      <c r="D2" s="3" t="s">
        <v>196</v>
      </c>
      <c r="E2" s="3">
        <v>3</v>
      </c>
      <c r="F2" s="3" t="s">
        <v>13</v>
      </c>
      <c r="G2" s="3" t="s">
        <v>13</v>
      </c>
      <c r="H2" s="4">
        <v>0.1106</v>
      </c>
      <c r="I2" s="4">
        <v>0.1215</v>
      </c>
      <c r="J2" t="s">
        <v>211</v>
      </c>
    </row>
    <row r="3" spans="1:10" x14ac:dyDescent="0.25">
      <c r="A3" s="3" t="s">
        <v>195</v>
      </c>
      <c r="B3" s="3" t="s">
        <v>14</v>
      </c>
      <c r="C3" s="3" t="s">
        <v>11</v>
      </c>
      <c r="D3" s="3" t="s">
        <v>197</v>
      </c>
      <c r="E3" s="3">
        <v>3</v>
      </c>
      <c r="F3" s="3" t="s">
        <v>13</v>
      </c>
      <c r="G3" s="3" t="s">
        <v>13</v>
      </c>
      <c r="H3" s="4">
        <v>6.3200000000000006E-2</v>
      </c>
      <c r="I3" s="4">
        <v>2.4899999999999999E-2</v>
      </c>
      <c r="J3" t="s">
        <v>211</v>
      </c>
    </row>
    <row r="4" spans="1:10" x14ac:dyDescent="0.25">
      <c r="A4" s="3" t="s">
        <v>195</v>
      </c>
      <c r="B4" s="3" t="s">
        <v>16</v>
      </c>
      <c r="C4" s="3" t="s">
        <v>11</v>
      </c>
      <c r="D4" s="3" t="s">
        <v>198</v>
      </c>
      <c r="E4" s="3">
        <v>3</v>
      </c>
      <c r="F4" s="3" t="s">
        <v>13</v>
      </c>
      <c r="G4" s="3" t="s">
        <v>13</v>
      </c>
      <c r="H4" s="4">
        <v>0.2233</v>
      </c>
      <c r="I4" s="4">
        <v>8.6699999999999999E-2</v>
      </c>
      <c r="J4" t="s">
        <v>211</v>
      </c>
    </row>
    <row r="5" spans="1:10" x14ac:dyDescent="0.25">
      <c r="A5" s="3" t="s">
        <v>195</v>
      </c>
      <c r="B5" s="3" t="s">
        <v>18</v>
      </c>
      <c r="C5" s="3" t="s">
        <v>11</v>
      </c>
      <c r="D5" s="3" t="s">
        <v>199</v>
      </c>
      <c r="E5" s="3">
        <v>3</v>
      </c>
      <c r="F5" s="3" t="s">
        <v>13</v>
      </c>
      <c r="G5" s="3" t="s">
        <v>13</v>
      </c>
      <c r="H5" s="4">
        <v>0.2515</v>
      </c>
      <c r="I5" s="4">
        <v>1.09E-2</v>
      </c>
      <c r="J5" t="s">
        <v>211</v>
      </c>
    </row>
    <row r="6" spans="1:10" x14ac:dyDescent="0.25">
      <c r="A6" s="3" t="s">
        <v>213</v>
      </c>
      <c r="B6" s="3" t="s">
        <v>20</v>
      </c>
      <c r="C6" s="3" t="s">
        <v>21</v>
      </c>
      <c r="D6" s="3" t="s">
        <v>214</v>
      </c>
      <c r="E6" s="3">
        <v>1</v>
      </c>
      <c r="F6" s="4">
        <v>0.621</v>
      </c>
      <c r="G6" s="4">
        <v>0.1658</v>
      </c>
      <c r="H6" s="4">
        <v>0.193</v>
      </c>
      <c r="I6" s="4">
        <v>0.4516</v>
      </c>
      <c r="J6" t="s">
        <v>211</v>
      </c>
    </row>
    <row r="7" spans="1:10" x14ac:dyDescent="0.25">
      <c r="A7" s="3" t="s">
        <v>213</v>
      </c>
      <c r="B7" s="3" t="s">
        <v>20</v>
      </c>
      <c r="C7" s="3" t="s">
        <v>21</v>
      </c>
      <c r="D7" s="3" t="s">
        <v>215</v>
      </c>
      <c r="E7" s="3">
        <v>2</v>
      </c>
      <c r="F7" s="3" t="s">
        <v>13</v>
      </c>
      <c r="G7" s="4">
        <v>0.17080000000000001</v>
      </c>
      <c r="H7" s="4">
        <v>0.17780000000000001</v>
      </c>
      <c r="I7" s="4">
        <v>0.30640000000000001</v>
      </c>
      <c r="J7" t="s">
        <v>211</v>
      </c>
    </row>
    <row r="8" spans="1:10" x14ac:dyDescent="0.25">
      <c r="A8" s="3" t="s">
        <v>213</v>
      </c>
      <c r="B8" s="3" t="s">
        <v>20</v>
      </c>
      <c r="C8" s="3" t="s">
        <v>11</v>
      </c>
      <c r="D8" s="3" t="s">
        <v>216</v>
      </c>
      <c r="E8" s="3">
        <v>1</v>
      </c>
      <c r="F8" s="3" t="s">
        <v>13</v>
      </c>
      <c r="G8" s="3" t="s">
        <v>13</v>
      </c>
      <c r="H8" s="4">
        <v>0.15620000000000001</v>
      </c>
      <c r="I8" s="4">
        <v>0.33329999999999999</v>
      </c>
      <c r="J8" t="s">
        <v>211</v>
      </c>
    </row>
    <row r="9" spans="1:10" x14ac:dyDescent="0.25">
      <c r="A9" s="3" t="s">
        <v>213</v>
      </c>
      <c r="B9" s="3" t="s">
        <v>20</v>
      </c>
      <c r="C9" s="3" t="s">
        <v>11</v>
      </c>
      <c r="D9" s="3" t="s">
        <v>217</v>
      </c>
      <c r="E9" s="3">
        <v>2</v>
      </c>
      <c r="F9" s="3" t="s">
        <v>13</v>
      </c>
      <c r="G9" s="3" t="s">
        <v>13</v>
      </c>
      <c r="H9" s="4">
        <v>0.23280000000000001</v>
      </c>
      <c r="I9" s="4">
        <v>0.54049999999999998</v>
      </c>
      <c r="J9" t="s">
        <v>211</v>
      </c>
    </row>
    <row r="10" spans="1:10" x14ac:dyDescent="0.25">
      <c r="A10" s="3" t="s">
        <v>195</v>
      </c>
      <c r="B10" s="3" t="s">
        <v>20</v>
      </c>
      <c r="C10" s="3" t="s">
        <v>11</v>
      </c>
      <c r="D10" s="3" t="s">
        <v>200</v>
      </c>
      <c r="E10" s="3">
        <v>3</v>
      </c>
      <c r="F10" s="3" t="s">
        <v>13</v>
      </c>
      <c r="G10" s="3" t="s">
        <v>13</v>
      </c>
      <c r="H10" s="4">
        <v>0.36409999999999998</v>
      </c>
      <c r="I10" s="4">
        <v>0.31769999999999998</v>
      </c>
      <c r="J10" t="s">
        <v>211</v>
      </c>
    </row>
    <row r="11" spans="1:10" x14ac:dyDescent="0.25">
      <c r="A11" s="3" t="s">
        <v>213</v>
      </c>
      <c r="B11" s="3" t="s">
        <v>27</v>
      </c>
      <c r="C11" s="3" t="s">
        <v>21</v>
      </c>
      <c r="D11" s="3" t="s">
        <v>218</v>
      </c>
      <c r="E11" s="3">
        <v>1</v>
      </c>
      <c r="F11" s="4">
        <v>0.65249999999999997</v>
      </c>
      <c r="G11" s="4">
        <v>0.2263</v>
      </c>
      <c r="H11" s="4">
        <v>0.2611</v>
      </c>
      <c r="I11" s="4">
        <v>0.45979999999999999</v>
      </c>
      <c r="J11" t="s">
        <v>211</v>
      </c>
    </row>
    <row r="12" spans="1:10" x14ac:dyDescent="0.25">
      <c r="A12" s="3" t="s">
        <v>213</v>
      </c>
      <c r="B12" s="3" t="s">
        <v>27</v>
      </c>
      <c r="C12" s="3" t="s">
        <v>21</v>
      </c>
      <c r="D12" s="3" t="s">
        <v>219</v>
      </c>
      <c r="E12" s="3">
        <v>2</v>
      </c>
      <c r="F12" s="3" t="s">
        <v>13</v>
      </c>
      <c r="G12" s="4">
        <v>0.21990000000000001</v>
      </c>
      <c r="H12" s="4">
        <v>0.21740000000000001</v>
      </c>
      <c r="I12" s="4">
        <v>0.38950000000000001</v>
      </c>
      <c r="J12" t="s">
        <v>211</v>
      </c>
    </row>
    <row r="13" spans="1:10" x14ac:dyDescent="0.25">
      <c r="A13" s="3" t="s">
        <v>213</v>
      </c>
      <c r="B13" s="3" t="s">
        <v>27</v>
      </c>
      <c r="C13" s="3" t="s">
        <v>11</v>
      </c>
      <c r="D13" s="3" t="s">
        <v>220</v>
      </c>
      <c r="E13" s="3">
        <v>1</v>
      </c>
      <c r="F13" s="3" t="s">
        <v>13</v>
      </c>
      <c r="G13" s="3" t="s">
        <v>13</v>
      </c>
      <c r="H13" s="4">
        <v>0.2097</v>
      </c>
      <c r="I13" s="4">
        <v>0.50660000000000005</v>
      </c>
      <c r="J13" t="s">
        <v>211</v>
      </c>
    </row>
    <row r="14" spans="1:10" x14ac:dyDescent="0.25">
      <c r="A14" s="3" t="s">
        <v>213</v>
      </c>
      <c r="B14" s="3" t="s">
        <v>27</v>
      </c>
      <c r="C14" s="3" t="s">
        <v>11</v>
      </c>
      <c r="D14" s="3" t="s">
        <v>221</v>
      </c>
      <c r="E14" s="3">
        <v>2</v>
      </c>
      <c r="F14" s="3" t="s">
        <v>13</v>
      </c>
      <c r="G14" s="3" t="s">
        <v>13</v>
      </c>
      <c r="H14" s="4">
        <v>0.2084</v>
      </c>
      <c r="I14" s="4">
        <v>0.34520000000000001</v>
      </c>
      <c r="J14" t="s">
        <v>211</v>
      </c>
    </row>
    <row r="15" spans="1:10" x14ac:dyDescent="0.25">
      <c r="A15" s="3" t="s">
        <v>195</v>
      </c>
      <c r="B15" s="3" t="s">
        <v>27</v>
      </c>
      <c r="C15" s="3" t="s">
        <v>11</v>
      </c>
      <c r="D15" s="3" t="s">
        <v>201</v>
      </c>
      <c r="E15" s="3">
        <v>3</v>
      </c>
      <c r="F15" s="3" t="s">
        <v>13</v>
      </c>
      <c r="G15" s="3" t="s">
        <v>13</v>
      </c>
      <c r="H15" s="4">
        <v>0.51700000000000002</v>
      </c>
      <c r="I15" s="4">
        <v>0.40720000000000001</v>
      </c>
      <c r="J15" t="s">
        <v>211</v>
      </c>
    </row>
    <row r="16" spans="1:10" x14ac:dyDescent="0.25">
      <c r="A16" s="3" t="s">
        <v>213</v>
      </c>
      <c r="B16" s="3" t="s">
        <v>33</v>
      </c>
      <c r="C16" s="3" t="s">
        <v>21</v>
      </c>
      <c r="D16" s="3" t="s">
        <v>222</v>
      </c>
      <c r="E16" s="3">
        <v>1</v>
      </c>
      <c r="F16" s="4">
        <v>0.64959999999999996</v>
      </c>
      <c r="G16" s="4">
        <v>0.17699999999999999</v>
      </c>
      <c r="H16" s="4">
        <v>0.23849999999999999</v>
      </c>
      <c r="I16" s="4">
        <v>0.32840000000000003</v>
      </c>
      <c r="J16" t="s">
        <v>211</v>
      </c>
    </row>
    <row r="17" spans="1:10" x14ac:dyDescent="0.25">
      <c r="A17" s="3" t="s">
        <v>213</v>
      </c>
      <c r="B17" s="3" t="s">
        <v>33</v>
      </c>
      <c r="C17" s="3" t="s">
        <v>21</v>
      </c>
      <c r="D17" s="3" t="s">
        <v>223</v>
      </c>
      <c r="E17" s="3">
        <v>2</v>
      </c>
      <c r="F17" s="3" t="s">
        <v>13</v>
      </c>
      <c r="G17" s="4">
        <v>0.1109</v>
      </c>
      <c r="H17" s="4">
        <v>0.28389999999999999</v>
      </c>
      <c r="I17" s="4">
        <v>0.46110000000000001</v>
      </c>
      <c r="J17" t="s">
        <v>211</v>
      </c>
    </row>
    <row r="18" spans="1:10" x14ac:dyDescent="0.25">
      <c r="A18" s="3" t="s">
        <v>213</v>
      </c>
      <c r="B18" s="3" t="s">
        <v>33</v>
      </c>
      <c r="C18" s="3" t="s">
        <v>11</v>
      </c>
      <c r="D18" s="3" t="s">
        <v>224</v>
      </c>
      <c r="E18" s="3">
        <v>1</v>
      </c>
      <c r="F18" s="3" t="s">
        <v>13</v>
      </c>
      <c r="G18" s="3" t="s">
        <v>13</v>
      </c>
      <c r="H18" s="4">
        <v>0.22589999999999999</v>
      </c>
      <c r="I18" s="4">
        <v>0.21809999999999999</v>
      </c>
      <c r="J18" t="s">
        <v>211</v>
      </c>
    </row>
    <row r="19" spans="1:10" x14ac:dyDescent="0.25">
      <c r="A19" s="3" t="s">
        <v>213</v>
      </c>
      <c r="B19" s="3" t="s">
        <v>33</v>
      </c>
      <c r="C19" s="3" t="s">
        <v>11</v>
      </c>
      <c r="D19" s="3" t="s">
        <v>225</v>
      </c>
      <c r="E19" s="3">
        <v>2</v>
      </c>
      <c r="F19" s="3" t="s">
        <v>13</v>
      </c>
      <c r="G19" s="3" t="s">
        <v>13</v>
      </c>
      <c r="H19" s="4">
        <v>0.31780000000000003</v>
      </c>
      <c r="I19" s="4">
        <v>0.36349999999999999</v>
      </c>
      <c r="J19" t="s">
        <v>211</v>
      </c>
    </row>
    <row r="20" spans="1:10" x14ac:dyDescent="0.25">
      <c r="A20" s="3" t="s">
        <v>195</v>
      </c>
      <c r="B20" s="3" t="s">
        <v>33</v>
      </c>
      <c r="C20" s="3" t="s">
        <v>11</v>
      </c>
      <c r="D20" s="3" t="s">
        <v>202</v>
      </c>
      <c r="E20" s="3">
        <v>3</v>
      </c>
      <c r="F20" s="3" t="s">
        <v>13</v>
      </c>
      <c r="G20" s="3" t="s">
        <v>13</v>
      </c>
      <c r="H20" s="4">
        <v>0.40849999999999997</v>
      </c>
      <c r="I20" s="4">
        <v>0.2301</v>
      </c>
      <c r="J20" t="s">
        <v>211</v>
      </c>
    </row>
    <row r="21" spans="1:10" x14ac:dyDescent="0.25">
      <c r="A21" s="3" t="s">
        <v>213</v>
      </c>
      <c r="B21" s="3" t="s">
        <v>39</v>
      </c>
      <c r="C21" s="3" t="s">
        <v>21</v>
      </c>
      <c r="D21" s="3" t="s">
        <v>226</v>
      </c>
      <c r="E21" s="3">
        <v>1</v>
      </c>
      <c r="F21" s="4">
        <v>4.1300000000000003E-2</v>
      </c>
      <c r="G21" s="4">
        <v>8.0299999999999996E-2</v>
      </c>
      <c r="H21" s="4">
        <v>5.8599999999999999E-2</v>
      </c>
      <c r="I21" s="4">
        <v>0</v>
      </c>
      <c r="J21" t="s">
        <v>211</v>
      </c>
    </row>
    <row r="22" spans="1:10" x14ac:dyDescent="0.25">
      <c r="A22" s="3" t="s">
        <v>213</v>
      </c>
      <c r="B22" s="3" t="s">
        <v>39</v>
      </c>
      <c r="C22" s="3" t="s">
        <v>21</v>
      </c>
      <c r="D22" s="3" t="s">
        <v>227</v>
      </c>
      <c r="E22" s="3">
        <v>2</v>
      </c>
      <c r="F22" s="3" t="s">
        <v>13</v>
      </c>
      <c r="G22" s="4">
        <v>7.6700000000000004E-2</v>
      </c>
      <c r="H22" s="4">
        <v>3.4200000000000001E-2</v>
      </c>
      <c r="I22" s="4">
        <v>0</v>
      </c>
      <c r="J22" t="s">
        <v>211</v>
      </c>
    </row>
    <row r="23" spans="1:10" x14ac:dyDescent="0.25">
      <c r="A23" s="3" t="s">
        <v>213</v>
      </c>
      <c r="B23" s="3" t="s">
        <v>39</v>
      </c>
      <c r="C23" s="3" t="s">
        <v>11</v>
      </c>
      <c r="D23" s="3" t="s">
        <v>228</v>
      </c>
      <c r="E23" s="3">
        <v>1</v>
      </c>
      <c r="F23" s="3" t="s">
        <v>13</v>
      </c>
      <c r="G23" s="3" t="s">
        <v>13</v>
      </c>
      <c r="H23" s="4">
        <v>8.09E-2</v>
      </c>
      <c r="I23" s="4">
        <v>9.4200000000000006E-2</v>
      </c>
      <c r="J23" t="s">
        <v>211</v>
      </c>
    </row>
    <row r="24" spans="1:10" x14ac:dyDescent="0.25">
      <c r="A24" s="3" t="s">
        <v>213</v>
      </c>
      <c r="B24" s="3" t="s">
        <v>39</v>
      </c>
      <c r="C24" s="3" t="s">
        <v>11</v>
      </c>
      <c r="D24" s="3" t="s">
        <v>229</v>
      </c>
      <c r="E24" s="3">
        <v>2</v>
      </c>
      <c r="F24" s="3" t="s">
        <v>13</v>
      </c>
      <c r="G24" s="3" t="s">
        <v>13</v>
      </c>
      <c r="H24" s="4">
        <v>3.4299999999999997E-2</v>
      </c>
      <c r="I24" s="4">
        <v>0</v>
      </c>
      <c r="J24" t="s">
        <v>211</v>
      </c>
    </row>
    <row r="25" spans="1:10" x14ac:dyDescent="0.25">
      <c r="A25" s="3" t="s">
        <v>195</v>
      </c>
      <c r="B25" s="3" t="s">
        <v>39</v>
      </c>
      <c r="C25" s="3" t="s">
        <v>11</v>
      </c>
      <c r="D25" s="3" t="s">
        <v>203</v>
      </c>
      <c r="E25" s="3">
        <v>3</v>
      </c>
      <c r="F25" s="3" t="s">
        <v>13</v>
      </c>
      <c r="G25" s="3" t="s">
        <v>13</v>
      </c>
      <c r="H25" s="4">
        <v>7.7700000000000005E-2</v>
      </c>
      <c r="I25" s="4">
        <v>0</v>
      </c>
      <c r="J25" t="s">
        <v>211</v>
      </c>
    </row>
    <row r="26" spans="1:10" x14ac:dyDescent="0.25">
      <c r="A26" s="3" t="s">
        <v>213</v>
      </c>
      <c r="B26" s="3" t="s">
        <v>45</v>
      </c>
      <c r="C26" s="3" t="s">
        <v>21</v>
      </c>
      <c r="D26" s="3" t="s">
        <v>230</v>
      </c>
      <c r="E26" s="3">
        <v>1</v>
      </c>
      <c r="F26" s="4">
        <v>0.4919</v>
      </c>
      <c r="G26" s="4">
        <v>0.2142</v>
      </c>
      <c r="H26" s="4">
        <v>3.9100000000000003E-2</v>
      </c>
      <c r="I26" s="4">
        <v>6.6000000000000003E-2</v>
      </c>
      <c r="J26" t="s">
        <v>211</v>
      </c>
    </row>
    <row r="27" spans="1:10" x14ac:dyDescent="0.25">
      <c r="A27" s="3" t="s">
        <v>213</v>
      </c>
      <c r="B27" s="3" t="s">
        <v>45</v>
      </c>
      <c r="C27" s="3" t="s">
        <v>21</v>
      </c>
      <c r="D27" s="3" t="s">
        <v>231</v>
      </c>
      <c r="E27" s="3">
        <v>2</v>
      </c>
      <c r="F27" s="3" t="s">
        <v>13</v>
      </c>
      <c r="G27" s="4">
        <v>0.1789</v>
      </c>
      <c r="H27" s="4">
        <v>7.1300000000000002E-2</v>
      </c>
      <c r="I27" s="4">
        <v>0.22020000000000001</v>
      </c>
      <c r="J27" t="s">
        <v>211</v>
      </c>
    </row>
    <row r="28" spans="1:10" x14ac:dyDescent="0.25">
      <c r="A28" s="3" t="s">
        <v>213</v>
      </c>
      <c r="B28" s="3" t="s">
        <v>45</v>
      </c>
      <c r="C28" s="3" t="s">
        <v>11</v>
      </c>
      <c r="D28" s="3" t="s">
        <v>232</v>
      </c>
      <c r="E28" s="3">
        <v>1</v>
      </c>
      <c r="F28" s="3" t="s">
        <v>13</v>
      </c>
      <c r="G28" s="3" t="s">
        <v>13</v>
      </c>
      <c r="H28" s="4">
        <v>8.2000000000000007E-3</v>
      </c>
      <c r="I28" s="4">
        <v>1.7100000000000001E-2</v>
      </c>
      <c r="J28" t="s">
        <v>211</v>
      </c>
    </row>
    <row r="29" spans="1:10" x14ac:dyDescent="0.25">
      <c r="A29" s="3" t="s">
        <v>213</v>
      </c>
      <c r="B29" s="3" t="s">
        <v>45</v>
      </c>
      <c r="C29" s="3" t="s">
        <v>11</v>
      </c>
      <c r="D29" s="3" t="s">
        <v>233</v>
      </c>
      <c r="E29" s="3">
        <v>2</v>
      </c>
      <c r="F29" s="3" t="s">
        <v>13</v>
      </c>
      <c r="G29" s="3" t="s">
        <v>13</v>
      </c>
      <c r="H29" s="4">
        <v>6.0699999999999997E-2</v>
      </c>
      <c r="I29" s="4">
        <v>0.15920000000000001</v>
      </c>
      <c r="J29" t="s">
        <v>211</v>
      </c>
    </row>
    <row r="30" spans="1:10" x14ac:dyDescent="0.25">
      <c r="A30" s="3" t="s">
        <v>195</v>
      </c>
      <c r="B30" s="3" t="s">
        <v>45</v>
      </c>
      <c r="C30" s="3" t="s">
        <v>11</v>
      </c>
      <c r="D30" s="3" t="s">
        <v>204</v>
      </c>
      <c r="E30" s="3">
        <v>3</v>
      </c>
      <c r="F30" s="3" t="s">
        <v>13</v>
      </c>
      <c r="G30" s="3" t="s">
        <v>13</v>
      </c>
      <c r="H30" s="4">
        <v>0.4753</v>
      </c>
      <c r="I30" s="4">
        <v>0.43919999999999998</v>
      </c>
      <c r="J30" t="s">
        <v>211</v>
      </c>
    </row>
    <row r="31" spans="1:10" x14ac:dyDescent="0.25">
      <c r="A31" s="3" t="s">
        <v>213</v>
      </c>
      <c r="B31" s="3" t="s">
        <v>51</v>
      </c>
      <c r="C31" s="3" t="s">
        <v>21</v>
      </c>
      <c r="D31" s="3" t="s">
        <v>234</v>
      </c>
      <c r="E31" s="3">
        <v>1</v>
      </c>
      <c r="F31" s="4">
        <v>0.57809999999999995</v>
      </c>
      <c r="G31" s="4">
        <v>8.0399999999999999E-2</v>
      </c>
      <c r="H31" s="4">
        <v>0.151</v>
      </c>
      <c r="I31" s="4">
        <v>0.26050000000000001</v>
      </c>
      <c r="J31" t="s">
        <v>211</v>
      </c>
    </row>
    <row r="32" spans="1:10" x14ac:dyDescent="0.25">
      <c r="A32" s="3" t="s">
        <v>213</v>
      </c>
      <c r="B32" s="3" t="s">
        <v>51</v>
      </c>
      <c r="C32" s="3" t="s">
        <v>21</v>
      </c>
      <c r="D32" s="3" t="s">
        <v>235</v>
      </c>
      <c r="E32" s="3">
        <v>2</v>
      </c>
      <c r="F32" s="3" t="s">
        <v>13</v>
      </c>
      <c r="G32" s="4">
        <v>8.9300000000000004E-2</v>
      </c>
      <c r="H32" s="4">
        <v>0.1794</v>
      </c>
      <c r="I32" s="4">
        <v>0.28050000000000003</v>
      </c>
      <c r="J32" t="s">
        <v>211</v>
      </c>
    </row>
    <row r="33" spans="1:10" x14ac:dyDescent="0.25">
      <c r="A33" s="3" t="s">
        <v>213</v>
      </c>
      <c r="B33" s="3" t="s">
        <v>51</v>
      </c>
      <c r="C33" s="3" t="s">
        <v>11</v>
      </c>
      <c r="D33" s="3" t="s">
        <v>236</v>
      </c>
      <c r="E33" s="3">
        <v>1</v>
      </c>
      <c r="F33" s="3" t="s">
        <v>13</v>
      </c>
      <c r="G33" s="3" t="s">
        <v>13</v>
      </c>
      <c r="H33" s="4">
        <v>0.19409999999999999</v>
      </c>
      <c r="I33" s="4">
        <v>0.42509999999999998</v>
      </c>
      <c r="J33" t="s">
        <v>211</v>
      </c>
    </row>
    <row r="34" spans="1:10" x14ac:dyDescent="0.25">
      <c r="A34" s="3" t="s">
        <v>213</v>
      </c>
      <c r="B34" s="3" t="s">
        <v>51</v>
      </c>
      <c r="C34" s="3" t="s">
        <v>11</v>
      </c>
      <c r="D34" s="3" t="s">
        <v>237</v>
      </c>
      <c r="E34" s="3">
        <v>2</v>
      </c>
      <c r="F34" s="3" t="s">
        <v>13</v>
      </c>
      <c r="G34" s="3" t="s">
        <v>13</v>
      </c>
      <c r="H34" s="4">
        <v>0.2485</v>
      </c>
      <c r="I34" s="4">
        <v>0.43030000000000002</v>
      </c>
      <c r="J34" t="s">
        <v>211</v>
      </c>
    </row>
    <row r="35" spans="1:10" x14ac:dyDescent="0.25">
      <c r="A35" s="3" t="s">
        <v>195</v>
      </c>
      <c r="B35" s="3" t="s">
        <v>51</v>
      </c>
      <c r="C35" s="3" t="s">
        <v>11</v>
      </c>
      <c r="D35" s="3" t="s">
        <v>205</v>
      </c>
      <c r="E35" s="3">
        <v>3</v>
      </c>
      <c r="F35" s="3" t="s">
        <v>13</v>
      </c>
      <c r="G35" s="3" t="s">
        <v>13</v>
      </c>
      <c r="H35" s="4">
        <v>0.55269999999999997</v>
      </c>
      <c r="I35" s="4">
        <v>0.38579999999999998</v>
      </c>
      <c r="J35" t="s">
        <v>211</v>
      </c>
    </row>
    <row r="36" spans="1:10" x14ac:dyDescent="0.25">
      <c r="A36" s="3" t="s">
        <v>195</v>
      </c>
      <c r="B36" s="3" t="s">
        <v>57</v>
      </c>
      <c r="C36" s="3" t="s">
        <v>11</v>
      </c>
      <c r="D36" s="3" t="s">
        <v>206</v>
      </c>
      <c r="E36" s="3">
        <v>3</v>
      </c>
      <c r="F36" s="3" t="s">
        <v>13</v>
      </c>
      <c r="G36" s="3" t="s">
        <v>13</v>
      </c>
      <c r="H36" s="4">
        <v>0.35670000000000002</v>
      </c>
      <c r="I36" s="4">
        <v>0.33239999999999997</v>
      </c>
      <c r="J36" t="s">
        <v>211</v>
      </c>
    </row>
    <row r="37" spans="1:10" x14ac:dyDescent="0.25">
      <c r="A37" s="3" t="s">
        <v>195</v>
      </c>
      <c r="B37" s="3" t="s">
        <v>59</v>
      </c>
      <c r="C37" s="3" t="s">
        <v>11</v>
      </c>
      <c r="D37" s="3" t="s">
        <v>207</v>
      </c>
      <c r="E37" s="3">
        <v>3</v>
      </c>
      <c r="F37" s="3" t="s">
        <v>13</v>
      </c>
      <c r="G37" s="3" t="s">
        <v>13</v>
      </c>
      <c r="H37" s="4">
        <v>0.43759999999999999</v>
      </c>
      <c r="I37" s="4">
        <v>0.38440000000000002</v>
      </c>
      <c r="J37" t="s">
        <v>211</v>
      </c>
    </row>
    <row r="38" spans="1:10" x14ac:dyDescent="0.25">
      <c r="A38" s="3" t="s">
        <v>213</v>
      </c>
      <c r="B38" s="3" t="s">
        <v>61</v>
      </c>
      <c r="C38" s="3" t="s">
        <v>21</v>
      </c>
      <c r="D38" s="3" t="s">
        <v>238</v>
      </c>
      <c r="E38" s="3">
        <v>1</v>
      </c>
      <c r="F38" s="4">
        <v>0.59930000000000005</v>
      </c>
      <c r="G38" s="4">
        <v>5.4199999999999998E-2</v>
      </c>
      <c r="H38" s="4">
        <v>0.192</v>
      </c>
      <c r="I38" s="4">
        <v>0.25169999999999998</v>
      </c>
      <c r="J38" t="s">
        <v>211</v>
      </c>
    </row>
    <row r="39" spans="1:10" x14ac:dyDescent="0.25">
      <c r="A39" s="3" t="s">
        <v>213</v>
      </c>
      <c r="B39" s="3" t="s">
        <v>61</v>
      </c>
      <c r="C39" s="3" t="s">
        <v>21</v>
      </c>
      <c r="D39" s="3" t="s">
        <v>239</v>
      </c>
      <c r="E39" s="3">
        <v>2</v>
      </c>
      <c r="F39" s="3" t="s">
        <v>13</v>
      </c>
      <c r="G39" s="4">
        <v>6.25E-2</v>
      </c>
      <c r="H39" s="4">
        <v>0.2112</v>
      </c>
      <c r="I39" s="4">
        <v>0.3241</v>
      </c>
      <c r="J39" t="s">
        <v>211</v>
      </c>
    </row>
    <row r="40" spans="1:10" x14ac:dyDescent="0.25">
      <c r="A40" s="3" t="s">
        <v>213</v>
      </c>
      <c r="B40" s="3" t="s">
        <v>61</v>
      </c>
      <c r="C40" s="3" t="s">
        <v>11</v>
      </c>
      <c r="D40" s="3" t="s">
        <v>240</v>
      </c>
      <c r="E40" s="3">
        <v>1</v>
      </c>
      <c r="F40" s="3" t="s">
        <v>13</v>
      </c>
      <c r="G40" s="3" t="s">
        <v>13</v>
      </c>
      <c r="H40" s="4">
        <v>0.21859999999999999</v>
      </c>
      <c r="I40" s="4">
        <v>0.35720000000000002</v>
      </c>
      <c r="J40" t="s">
        <v>211</v>
      </c>
    </row>
    <row r="41" spans="1:10" x14ac:dyDescent="0.25">
      <c r="A41" s="3" t="s">
        <v>213</v>
      </c>
      <c r="B41" s="3" t="s">
        <v>61</v>
      </c>
      <c r="C41" s="3" t="s">
        <v>11</v>
      </c>
      <c r="D41" s="3" t="s">
        <v>241</v>
      </c>
      <c r="E41" s="3">
        <v>2</v>
      </c>
      <c r="F41" s="3" t="s">
        <v>13</v>
      </c>
      <c r="G41" s="3" t="s">
        <v>13</v>
      </c>
      <c r="H41" s="4">
        <v>0.21190000000000001</v>
      </c>
      <c r="I41" s="4">
        <v>0.17299999999999999</v>
      </c>
      <c r="J41" t="s">
        <v>211</v>
      </c>
    </row>
    <row r="42" spans="1:10" x14ac:dyDescent="0.25">
      <c r="A42" s="3" t="s">
        <v>195</v>
      </c>
      <c r="B42" s="3" t="s">
        <v>61</v>
      </c>
      <c r="C42" s="3" t="s">
        <v>11</v>
      </c>
      <c r="D42" s="3" t="s">
        <v>208</v>
      </c>
      <c r="E42" s="3">
        <v>3</v>
      </c>
      <c r="F42" s="3" t="s">
        <v>13</v>
      </c>
      <c r="G42" s="3" t="s">
        <v>13</v>
      </c>
      <c r="H42" s="4">
        <v>0.2843</v>
      </c>
      <c r="I42" s="4">
        <v>0.2243</v>
      </c>
      <c r="J42" t="s">
        <v>211</v>
      </c>
    </row>
    <row r="43" spans="1:10" x14ac:dyDescent="0.25">
      <c r="A43" s="3" t="s">
        <v>213</v>
      </c>
      <c r="B43" s="3" t="s">
        <v>67</v>
      </c>
      <c r="C43" s="3" t="s">
        <v>21</v>
      </c>
      <c r="D43" s="3" t="s">
        <v>242</v>
      </c>
      <c r="E43" s="3">
        <v>1</v>
      </c>
      <c r="F43" s="4">
        <v>0.38240000000000002</v>
      </c>
      <c r="G43" s="4">
        <v>6.8199999999999997E-2</v>
      </c>
      <c r="H43" s="4">
        <v>0.189</v>
      </c>
      <c r="I43" s="4">
        <v>0.38900000000000001</v>
      </c>
      <c r="J43" t="s">
        <v>211</v>
      </c>
    </row>
    <row r="44" spans="1:10" x14ac:dyDescent="0.25">
      <c r="A44" s="3" t="s">
        <v>213</v>
      </c>
      <c r="B44" s="3" t="s">
        <v>67</v>
      </c>
      <c r="C44" s="3" t="s">
        <v>21</v>
      </c>
      <c r="D44" s="3" t="s">
        <v>243</v>
      </c>
      <c r="E44" s="3">
        <v>2</v>
      </c>
      <c r="F44" s="3" t="s">
        <v>13</v>
      </c>
      <c r="G44" s="4">
        <v>5.3600000000000002E-2</v>
      </c>
      <c r="H44" s="4">
        <v>0.186</v>
      </c>
      <c r="I44" s="4">
        <v>0.29010000000000002</v>
      </c>
      <c r="J44" t="s">
        <v>211</v>
      </c>
    </row>
    <row r="45" spans="1:10" x14ac:dyDescent="0.25">
      <c r="A45" s="3" t="s">
        <v>213</v>
      </c>
      <c r="B45" s="3" t="s">
        <v>67</v>
      </c>
      <c r="C45" s="3" t="s">
        <v>11</v>
      </c>
      <c r="D45" s="3" t="s">
        <v>244</v>
      </c>
      <c r="E45" s="3">
        <v>1</v>
      </c>
      <c r="F45" s="3" t="s">
        <v>13</v>
      </c>
      <c r="G45" s="3" t="s">
        <v>13</v>
      </c>
      <c r="H45" s="4">
        <v>0.14530000000000001</v>
      </c>
      <c r="I45" s="4">
        <v>0.29220000000000002</v>
      </c>
      <c r="J45" t="s">
        <v>211</v>
      </c>
    </row>
    <row r="46" spans="1:10" x14ac:dyDescent="0.25">
      <c r="A46" s="3" t="s">
        <v>213</v>
      </c>
      <c r="B46" s="3" t="s">
        <v>67</v>
      </c>
      <c r="C46" s="3" t="s">
        <v>11</v>
      </c>
      <c r="D46" s="3" t="s">
        <v>245</v>
      </c>
      <c r="E46" s="3">
        <v>2</v>
      </c>
      <c r="F46" s="3" t="s">
        <v>13</v>
      </c>
      <c r="G46" s="3" t="s">
        <v>13</v>
      </c>
      <c r="H46" s="4">
        <v>6.2300000000000001E-2</v>
      </c>
      <c r="I46" s="4">
        <v>0.13719999999999999</v>
      </c>
      <c r="J46" t="s">
        <v>211</v>
      </c>
    </row>
    <row r="47" spans="1:10" x14ac:dyDescent="0.25">
      <c r="A47" s="3" t="s">
        <v>195</v>
      </c>
      <c r="B47" s="3" t="s">
        <v>67</v>
      </c>
      <c r="C47" s="3" t="s">
        <v>11</v>
      </c>
      <c r="D47" s="3" t="s">
        <v>209</v>
      </c>
      <c r="E47" s="3">
        <v>3</v>
      </c>
      <c r="F47" s="3" t="s">
        <v>13</v>
      </c>
      <c r="G47" s="3" t="s">
        <v>13</v>
      </c>
      <c r="H47" s="4">
        <v>0.43219999999999997</v>
      </c>
      <c r="I47" s="4">
        <v>0.22919999999999999</v>
      </c>
      <c r="J47" t="s">
        <v>211</v>
      </c>
    </row>
    <row r="48" spans="1:10" x14ac:dyDescent="0.25">
      <c r="A48" s="3" t="s">
        <v>246</v>
      </c>
      <c r="B48" s="3" t="s">
        <v>74</v>
      </c>
      <c r="C48" s="3" t="s">
        <v>21</v>
      </c>
      <c r="D48" s="3" t="s">
        <v>247</v>
      </c>
      <c r="E48" s="3">
        <v>1</v>
      </c>
      <c r="F48" s="4">
        <v>0.5978</v>
      </c>
      <c r="G48" s="4">
        <v>0.2283</v>
      </c>
      <c r="H48" s="4">
        <v>0.27760000000000001</v>
      </c>
      <c r="I48" s="4">
        <v>0.41210000000000002</v>
      </c>
      <c r="J48" t="s">
        <v>212</v>
      </c>
    </row>
    <row r="49" spans="1:10" x14ac:dyDescent="0.25">
      <c r="A49" s="3" t="s">
        <v>246</v>
      </c>
      <c r="B49" s="3" t="s">
        <v>74</v>
      </c>
      <c r="C49" s="3" t="s">
        <v>21</v>
      </c>
      <c r="D49" s="3" t="s">
        <v>248</v>
      </c>
      <c r="E49" s="3">
        <v>2</v>
      </c>
      <c r="F49" s="3" t="s">
        <v>13</v>
      </c>
      <c r="G49" s="4">
        <v>0.23780000000000001</v>
      </c>
      <c r="H49" s="4">
        <v>0.2732</v>
      </c>
      <c r="I49" s="4">
        <v>0.48599999999999999</v>
      </c>
      <c r="J49" t="s">
        <v>212</v>
      </c>
    </row>
    <row r="50" spans="1:10" x14ac:dyDescent="0.25">
      <c r="A50" s="3" t="s">
        <v>246</v>
      </c>
      <c r="B50" s="3" t="s">
        <v>74</v>
      </c>
      <c r="C50" s="3" t="s">
        <v>11</v>
      </c>
      <c r="D50" s="3" t="s">
        <v>249</v>
      </c>
      <c r="E50" s="3">
        <v>1</v>
      </c>
      <c r="F50" s="3" t="s">
        <v>13</v>
      </c>
      <c r="G50" s="3" t="s">
        <v>13</v>
      </c>
      <c r="H50" s="4">
        <v>0.30409999999999898</v>
      </c>
      <c r="I50" s="4">
        <v>0.40550000000000003</v>
      </c>
      <c r="J50" t="s">
        <v>212</v>
      </c>
    </row>
    <row r="51" spans="1:10" x14ac:dyDescent="0.25">
      <c r="A51" s="3" t="s">
        <v>246</v>
      </c>
      <c r="B51" s="3" t="s">
        <v>74</v>
      </c>
      <c r="C51" s="3" t="s">
        <v>11</v>
      </c>
      <c r="D51" s="3" t="s">
        <v>250</v>
      </c>
      <c r="E51" s="3">
        <v>2</v>
      </c>
      <c r="F51" s="3" t="s">
        <v>13</v>
      </c>
      <c r="G51" s="3" t="s">
        <v>13</v>
      </c>
      <c r="H51" s="4">
        <v>0.3306</v>
      </c>
      <c r="I51" s="4">
        <v>0.52039999999999997</v>
      </c>
      <c r="J51" t="s">
        <v>212</v>
      </c>
    </row>
    <row r="52" spans="1:10" x14ac:dyDescent="0.25">
      <c r="A52" s="3" t="s">
        <v>246</v>
      </c>
      <c r="B52" s="3" t="s">
        <v>74</v>
      </c>
      <c r="C52" s="3" t="s">
        <v>11</v>
      </c>
      <c r="D52" s="3" t="s">
        <v>251</v>
      </c>
      <c r="E52" s="3">
        <v>3</v>
      </c>
      <c r="F52" s="3" t="s">
        <v>13</v>
      </c>
      <c r="G52" s="3" t="s">
        <v>13</v>
      </c>
      <c r="H52" s="4">
        <v>0.55959999999999999</v>
      </c>
      <c r="I52" s="4">
        <v>0.53190000000000004</v>
      </c>
      <c r="J52" t="s">
        <v>212</v>
      </c>
    </row>
    <row r="53" spans="1:10" x14ac:dyDescent="0.25">
      <c r="A53" s="3" t="s">
        <v>246</v>
      </c>
      <c r="B53" s="3" t="s">
        <v>80</v>
      </c>
      <c r="C53" s="3" t="s">
        <v>21</v>
      </c>
      <c r="D53" s="3" t="s">
        <v>252</v>
      </c>
      <c r="E53" s="3">
        <v>1</v>
      </c>
      <c r="F53" s="4">
        <v>0.50270000000000004</v>
      </c>
      <c r="G53" s="4">
        <v>9.1499999999999998E-2</v>
      </c>
      <c r="H53" s="4">
        <v>0.1507</v>
      </c>
      <c r="I53" s="4">
        <v>0.48720000000000002</v>
      </c>
      <c r="J53" t="s">
        <v>212</v>
      </c>
    </row>
    <row r="54" spans="1:10" x14ac:dyDescent="0.25">
      <c r="A54" s="3" t="s">
        <v>246</v>
      </c>
      <c r="B54" s="3" t="s">
        <v>80</v>
      </c>
      <c r="C54" s="3" t="s">
        <v>21</v>
      </c>
      <c r="D54" s="3" t="s">
        <v>253</v>
      </c>
      <c r="E54" s="3">
        <v>2</v>
      </c>
      <c r="F54" s="3" t="s">
        <v>13</v>
      </c>
      <c r="G54" s="4">
        <v>0.113799999999999</v>
      </c>
      <c r="H54" s="4">
        <v>0.16009999999999899</v>
      </c>
      <c r="I54" s="4">
        <v>0.44</v>
      </c>
      <c r="J54" t="s">
        <v>212</v>
      </c>
    </row>
    <row r="55" spans="1:10" x14ac:dyDescent="0.25">
      <c r="A55" s="3" t="s">
        <v>246</v>
      </c>
      <c r="B55" s="3" t="s">
        <v>80</v>
      </c>
      <c r="C55" s="3" t="s">
        <v>11</v>
      </c>
      <c r="D55" s="3" t="s">
        <v>254</v>
      </c>
      <c r="E55" s="3">
        <v>1</v>
      </c>
      <c r="F55" s="3" t="s">
        <v>13</v>
      </c>
      <c r="G55" s="3" t="s">
        <v>13</v>
      </c>
      <c r="H55" s="4">
        <v>0.1641</v>
      </c>
      <c r="I55" s="4">
        <v>0.49509999999999998</v>
      </c>
      <c r="J55" t="s">
        <v>212</v>
      </c>
    </row>
    <row r="56" spans="1:10" x14ac:dyDescent="0.25">
      <c r="A56" s="3" t="s">
        <v>246</v>
      </c>
      <c r="B56" s="3" t="s">
        <v>80</v>
      </c>
      <c r="C56" s="3" t="s">
        <v>11</v>
      </c>
      <c r="D56" s="3" t="s">
        <v>255</v>
      </c>
      <c r="E56" s="3">
        <v>2</v>
      </c>
      <c r="F56" s="3" t="s">
        <v>13</v>
      </c>
      <c r="G56" s="3" t="s">
        <v>13</v>
      </c>
      <c r="H56" s="4">
        <v>0.20749999999999999</v>
      </c>
      <c r="I56" s="4">
        <v>0.48899999999999999</v>
      </c>
      <c r="J56" t="s">
        <v>212</v>
      </c>
    </row>
    <row r="57" spans="1:10" x14ac:dyDescent="0.25">
      <c r="A57" s="3" t="s">
        <v>246</v>
      </c>
      <c r="B57" s="3" t="s">
        <v>80</v>
      </c>
      <c r="C57" s="3" t="s">
        <v>11</v>
      </c>
      <c r="D57" s="3" t="s">
        <v>256</v>
      </c>
      <c r="E57" s="3">
        <v>3</v>
      </c>
      <c r="F57" s="3" t="s">
        <v>13</v>
      </c>
      <c r="G57" s="3" t="s">
        <v>13</v>
      </c>
      <c r="H57" s="4">
        <v>0.42980000000000002</v>
      </c>
      <c r="I57" s="4">
        <v>0.42280000000000001</v>
      </c>
      <c r="J57" t="s">
        <v>212</v>
      </c>
    </row>
    <row r="58" spans="1:10" x14ac:dyDescent="0.25">
      <c r="A58" s="3" t="s">
        <v>246</v>
      </c>
      <c r="B58" s="3" t="s">
        <v>86</v>
      </c>
      <c r="C58" s="3" t="s">
        <v>21</v>
      </c>
      <c r="D58" s="3" t="s">
        <v>257</v>
      </c>
      <c r="E58" s="3">
        <v>1</v>
      </c>
      <c r="F58" s="4">
        <v>0.63739999999999897</v>
      </c>
      <c r="G58" s="4">
        <v>0.30549999999999999</v>
      </c>
      <c r="H58" s="4">
        <v>0.32390000000000002</v>
      </c>
      <c r="I58" s="4">
        <v>0.51959999999999895</v>
      </c>
      <c r="J58" t="s">
        <v>212</v>
      </c>
    </row>
    <row r="59" spans="1:10" x14ac:dyDescent="0.25">
      <c r="A59" s="3" t="s">
        <v>246</v>
      </c>
      <c r="B59" s="3" t="s">
        <v>86</v>
      </c>
      <c r="C59" s="3" t="s">
        <v>21</v>
      </c>
      <c r="D59" s="3" t="s">
        <v>258</v>
      </c>
      <c r="E59" s="3">
        <v>2</v>
      </c>
      <c r="F59" s="3" t="s">
        <v>13</v>
      </c>
      <c r="G59" s="4">
        <v>0.31009999999999899</v>
      </c>
      <c r="H59" s="4">
        <v>0.34</v>
      </c>
      <c r="I59" s="4">
        <v>0.58509999999999995</v>
      </c>
      <c r="J59" t="s">
        <v>212</v>
      </c>
    </row>
    <row r="60" spans="1:10" x14ac:dyDescent="0.25">
      <c r="A60" s="3" t="s">
        <v>246</v>
      </c>
      <c r="B60" s="3" t="s">
        <v>86</v>
      </c>
      <c r="C60" s="3" t="s">
        <v>11</v>
      </c>
      <c r="D60" s="3" t="s">
        <v>259</v>
      </c>
      <c r="E60" s="3">
        <v>1</v>
      </c>
      <c r="F60" s="3" t="s">
        <v>13</v>
      </c>
      <c r="G60" s="3" t="s">
        <v>13</v>
      </c>
      <c r="H60" s="4">
        <v>0.29970000000000002</v>
      </c>
      <c r="I60" s="4">
        <v>0.46450000000000002</v>
      </c>
      <c r="J60" t="s">
        <v>212</v>
      </c>
    </row>
    <row r="61" spans="1:10" x14ac:dyDescent="0.25">
      <c r="A61" s="3" t="s">
        <v>246</v>
      </c>
      <c r="B61" s="3" t="s">
        <v>86</v>
      </c>
      <c r="C61" s="3" t="s">
        <v>11</v>
      </c>
      <c r="D61" s="3" t="s">
        <v>260</v>
      </c>
      <c r="E61" s="3">
        <v>2</v>
      </c>
      <c r="F61" s="3" t="s">
        <v>13</v>
      </c>
      <c r="G61" s="3" t="s">
        <v>13</v>
      </c>
      <c r="H61" s="4">
        <v>0.34339999999999898</v>
      </c>
      <c r="I61" s="4">
        <v>0.56999999999999895</v>
      </c>
      <c r="J61" t="s">
        <v>212</v>
      </c>
    </row>
    <row r="62" spans="1:10" x14ac:dyDescent="0.25">
      <c r="A62" s="3" t="s">
        <v>246</v>
      </c>
      <c r="B62" s="3" t="s">
        <v>86</v>
      </c>
      <c r="C62" s="3" t="s">
        <v>11</v>
      </c>
      <c r="D62" s="3" t="s">
        <v>261</v>
      </c>
      <c r="E62" s="3">
        <v>3</v>
      </c>
      <c r="F62" s="3" t="s">
        <v>13</v>
      </c>
      <c r="G62" s="3" t="s">
        <v>13</v>
      </c>
      <c r="H62" s="4">
        <v>0.60209999999999897</v>
      </c>
      <c r="I62" s="4">
        <v>0.59119999999999995</v>
      </c>
      <c r="J62" t="s">
        <v>212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CA67-3471-4D50-B16A-B05887A5EA07}">
  <dimension ref="A3:Z24"/>
  <sheetViews>
    <sheetView topLeftCell="O1" workbookViewId="0">
      <selection activeCell="B7" sqref="B7:V23"/>
    </sheetView>
  </sheetViews>
  <sheetFormatPr defaultRowHeight="13.8" x14ac:dyDescent="0.25"/>
  <cols>
    <col min="1" max="1" width="25" bestFit="1" customWidth="1"/>
    <col min="2" max="2" width="20.6640625" bestFit="1" customWidth="1"/>
    <col min="3" max="22" width="20.44140625" bestFit="1" customWidth="1"/>
    <col min="23" max="23" width="22.88671875" bestFit="1" customWidth="1"/>
    <col min="24" max="24" width="23" bestFit="1" customWidth="1"/>
    <col min="25" max="25" width="19.21875" bestFit="1" customWidth="1"/>
    <col min="26" max="26" width="24.88671875" bestFit="1" customWidth="1"/>
    <col min="27" max="27" width="25" bestFit="1" customWidth="1"/>
    <col min="28" max="28" width="25.109375" bestFit="1" customWidth="1"/>
    <col min="29" max="29" width="21.33203125" bestFit="1" customWidth="1"/>
    <col min="30" max="30" width="26.88671875" bestFit="1" customWidth="1"/>
    <col min="31" max="31" width="22.88671875" bestFit="1" customWidth="1"/>
    <col min="32" max="32" width="23" bestFit="1" customWidth="1"/>
    <col min="33" max="33" width="19.21875" bestFit="1" customWidth="1"/>
    <col min="34" max="34" width="24.88671875" bestFit="1" customWidth="1"/>
  </cols>
  <sheetData>
    <row r="3" spans="1:26" x14ac:dyDescent="0.25">
      <c r="C3" s="2" t="s">
        <v>2</v>
      </c>
      <c r="D3" s="2" t="s">
        <v>4</v>
      </c>
      <c r="E3" s="2" t="s">
        <v>190</v>
      </c>
    </row>
    <row r="4" spans="1:26" x14ac:dyDescent="0.25">
      <c r="C4" t="s">
        <v>21</v>
      </c>
      <c r="K4" t="s">
        <v>11</v>
      </c>
      <c r="W4" t="s">
        <v>182</v>
      </c>
      <c r="X4" t="s">
        <v>184</v>
      </c>
      <c r="Y4" t="s">
        <v>186</v>
      </c>
      <c r="Z4" t="s">
        <v>188</v>
      </c>
    </row>
    <row r="5" spans="1:26" x14ac:dyDescent="0.25">
      <c r="C5">
        <v>1</v>
      </c>
      <c r="G5">
        <v>2</v>
      </c>
      <c r="K5">
        <v>1</v>
      </c>
      <c r="O5">
        <v>2</v>
      </c>
      <c r="S5">
        <v>3</v>
      </c>
    </row>
    <row r="6" spans="1:26" x14ac:dyDescent="0.25">
      <c r="A6" s="2" t="s">
        <v>191</v>
      </c>
      <c r="B6" s="2" t="s">
        <v>1</v>
      </c>
      <c r="C6" t="s">
        <v>183</v>
      </c>
      <c r="D6" t="s">
        <v>185</v>
      </c>
      <c r="E6" t="s">
        <v>187</v>
      </c>
      <c r="F6" t="s">
        <v>189</v>
      </c>
      <c r="G6" t="s">
        <v>183</v>
      </c>
      <c r="H6" t="s">
        <v>185</v>
      </c>
      <c r="I6" t="s">
        <v>187</v>
      </c>
      <c r="J6" t="s">
        <v>189</v>
      </c>
      <c r="K6" t="s">
        <v>183</v>
      </c>
      <c r="L6" t="s">
        <v>185</v>
      </c>
      <c r="M6" t="s">
        <v>187</v>
      </c>
      <c r="N6" t="s">
        <v>189</v>
      </c>
      <c r="O6" t="s">
        <v>183</v>
      </c>
      <c r="P6" t="s">
        <v>185</v>
      </c>
      <c r="Q6" t="s">
        <v>187</v>
      </c>
      <c r="R6" t="s">
        <v>189</v>
      </c>
      <c r="S6" t="s">
        <v>183</v>
      </c>
      <c r="T6" t="s">
        <v>185</v>
      </c>
      <c r="U6" t="s">
        <v>187</v>
      </c>
      <c r="V6" t="s">
        <v>189</v>
      </c>
    </row>
    <row r="7" spans="1:26" x14ac:dyDescent="0.25">
      <c r="A7" t="s">
        <v>193</v>
      </c>
      <c r="B7" t="s">
        <v>74</v>
      </c>
      <c r="C7" s="5">
        <v>0.60470000000000002</v>
      </c>
      <c r="D7" s="5">
        <v>0.22720000000000001</v>
      </c>
      <c r="E7" s="1">
        <v>0.25590000000000002</v>
      </c>
      <c r="F7" s="1">
        <v>0.32979999999999998</v>
      </c>
      <c r="G7" s="5" t="e">
        <v>#DIV/0!</v>
      </c>
      <c r="H7" s="5">
        <v>0.34539999999999998</v>
      </c>
      <c r="I7" s="1">
        <v>0.27879999999999999</v>
      </c>
      <c r="J7" s="1">
        <v>0.4143</v>
      </c>
      <c r="K7" s="5" t="e">
        <v>#DIV/0!</v>
      </c>
      <c r="L7" s="5" t="e">
        <v>#DIV/0!</v>
      </c>
      <c r="M7" s="1">
        <v>0.2205</v>
      </c>
      <c r="N7" s="1">
        <v>0.28299999999999897</v>
      </c>
      <c r="O7" s="5" t="e">
        <v>#DIV/0!</v>
      </c>
      <c r="P7" s="5" t="e">
        <v>#DIV/0!</v>
      </c>
      <c r="Q7" s="1">
        <v>0.33439999999999998</v>
      </c>
      <c r="R7" s="1">
        <v>0.38969999999999999</v>
      </c>
      <c r="S7" s="5" t="e">
        <v>#DIV/0!</v>
      </c>
      <c r="T7" s="5" t="e">
        <v>#DIV/0!</v>
      </c>
      <c r="U7" s="1">
        <v>0.54479999999999995</v>
      </c>
      <c r="V7" s="1">
        <v>0.5706</v>
      </c>
      <c r="W7" s="5">
        <v>0.60470000000000002</v>
      </c>
      <c r="X7" s="5">
        <v>0.2863</v>
      </c>
      <c r="Y7" s="1">
        <v>0.32687999999999995</v>
      </c>
      <c r="Z7" s="1">
        <v>0.39747999999999978</v>
      </c>
    </row>
    <row r="8" spans="1:26" x14ac:dyDescent="0.25">
      <c r="B8" t="s">
        <v>80</v>
      </c>
      <c r="C8" s="5">
        <v>0.48399999999999999</v>
      </c>
      <c r="D8" s="5">
        <v>0.1041</v>
      </c>
      <c r="E8" s="1">
        <v>0.1305</v>
      </c>
      <c r="F8" s="1">
        <v>0.50319999999999998</v>
      </c>
      <c r="G8" s="5" t="e">
        <v>#DIV/0!</v>
      </c>
      <c r="H8" s="5">
        <v>0.10730000000000001</v>
      </c>
      <c r="I8" s="1">
        <v>0.129</v>
      </c>
      <c r="J8" s="1">
        <v>0.51880000000000004</v>
      </c>
      <c r="K8" s="5" t="e">
        <v>#DIV/0!</v>
      </c>
      <c r="L8" s="5" t="e">
        <v>#DIV/0!</v>
      </c>
      <c r="M8" s="1">
        <v>0.1363</v>
      </c>
      <c r="N8" s="1">
        <v>0.47170000000000001</v>
      </c>
      <c r="O8" s="5" t="e">
        <v>#DIV/0!</v>
      </c>
      <c r="P8" s="5" t="e">
        <v>#DIV/0!</v>
      </c>
      <c r="Q8" s="1">
        <v>0.21809999999999999</v>
      </c>
      <c r="R8" s="1">
        <v>0.48499999999999999</v>
      </c>
      <c r="S8" s="5" t="e">
        <v>#DIV/0!</v>
      </c>
      <c r="T8" s="5" t="e">
        <v>#DIV/0!</v>
      </c>
      <c r="U8" s="1">
        <v>0.45340000000000003</v>
      </c>
      <c r="V8" s="1">
        <v>0.47070000000000001</v>
      </c>
      <c r="W8" s="5">
        <v>0.48399999999999999</v>
      </c>
      <c r="X8" s="5">
        <v>0.1057</v>
      </c>
      <c r="Y8" s="1">
        <v>0.21345999999999998</v>
      </c>
      <c r="Z8" s="1">
        <v>0.48987999999999998</v>
      </c>
    </row>
    <row r="9" spans="1:26" x14ac:dyDescent="0.25">
      <c r="B9" t="s">
        <v>86</v>
      </c>
      <c r="C9" s="5">
        <v>0.64629999999999999</v>
      </c>
      <c r="D9" s="5">
        <v>0.31059999999999999</v>
      </c>
      <c r="E9" s="1">
        <v>0.31509999999999899</v>
      </c>
      <c r="F9" s="1">
        <v>0.45789999999999997</v>
      </c>
      <c r="G9" s="5" t="e">
        <v>#DIV/0!</v>
      </c>
      <c r="H9" s="5">
        <v>0.31540000000000001</v>
      </c>
      <c r="I9" s="1">
        <v>0.33410000000000001</v>
      </c>
      <c r="J9" s="1">
        <v>0.58169999999999999</v>
      </c>
      <c r="K9" s="5" t="e">
        <v>#DIV/0!</v>
      </c>
      <c r="L9" s="5" t="e">
        <v>#DIV/0!</v>
      </c>
      <c r="M9" s="1">
        <v>0.26240000000000002</v>
      </c>
      <c r="N9" s="1">
        <v>0.43059999999999898</v>
      </c>
      <c r="O9" s="5" t="e">
        <v>#DIV/0!</v>
      </c>
      <c r="P9" s="5" t="e">
        <v>#DIV/0!</v>
      </c>
      <c r="Q9" s="1">
        <v>0.3498</v>
      </c>
      <c r="R9" s="1">
        <v>0.54120000000000001</v>
      </c>
      <c r="S9" s="5" t="e">
        <v>#DIV/0!</v>
      </c>
      <c r="T9" s="5" t="e">
        <v>#DIV/0!</v>
      </c>
      <c r="U9" s="1">
        <v>0.55769999999999897</v>
      </c>
      <c r="V9" s="1">
        <v>0.58750000000000002</v>
      </c>
      <c r="W9" s="5">
        <v>0.64629999999999999</v>
      </c>
      <c r="X9" s="5">
        <v>0.313</v>
      </c>
      <c r="Y9" s="1">
        <v>0.36381999999999964</v>
      </c>
      <c r="Z9" s="1">
        <v>0.5197799999999998</v>
      </c>
    </row>
    <row r="10" spans="1:26" x14ac:dyDescent="0.25">
      <c r="A10" t="s">
        <v>192</v>
      </c>
      <c r="B10" t="s">
        <v>10</v>
      </c>
      <c r="C10" s="5"/>
      <c r="D10" s="5"/>
      <c r="E10" s="1"/>
      <c r="F10" s="1"/>
      <c r="G10" s="5"/>
      <c r="H10" s="5"/>
      <c r="I10" s="1"/>
      <c r="J10" s="1"/>
      <c r="K10" s="5"/>
      <c r="L10" s="5"/>
      <c r="M10" s="1"/>
      <c r="N10" s="1"/>
      <c r="O10" s="5"/>
      <c r="P10" s="5"/>
      <c r="Q10" s="1"/>
      <c r="R10" s="1"/>
      <c r="S10" s="5" t="e">
        <v>#DIV/0!</v>
      </c>
      <c r="T10" s="5" t="e">
        <v>#DIV/0!</v>
      </c>
      <c r="U10" s="1">
        <v>0.1106</v>
      </c>
      <c r="V10" s="1">
        <v>0.1215</v>
      </c>
      <c r="W10" s="5" t="e">
        <v>#DIV/0!</v>
      </c>
      <c r="X10" s="5" t="e">
        <v>#DIV/0!</v>
      </c>
      <c r="Y10" s="1">
        <v>0.1106</v>
      </c>
      <c r="Z10" s="1">
        <v>0.1215</v>
      </c>
    </row>
    <row r="11" spans="1:26" x14ac:dyDescent="0.25">
      <c r="B11" t="s">
        <v>14</v>
      </c>
      <c r="C11" s="5"/>
      <c r="D11" s="5"/>
      <c r="E11" s="1"/>
      <c r="F11" s="1"/>
      <c r="G11" s="5"/>
      <c r="H11" s="5"/>
      <c r="I11" s="1"/>
      <c r="J11" s="1"/>
      <c r="K11" s="5"/>
      <c r="L11" s="5"/>
      <c r="M11" s="1"/>
      <c r="N11" s="1"/>
      <c r="O11" s="5"/>
      <c r="P11" s="5"/>
      <c r="Q11" s="1"/>
      <c r="R11" s="1"/>
      <c r="S11" s="5" t="e">
        <v>#DIV/0!</v>
      </c>
      <c r="T11" s="5" t="e">
        <v>#DIV/0!</v>
      </c>
      <c r="U11" s="1">
        <v>6.3200000000000006E-2</v>
      </c>
      <c r="V11" s="1">
        <v>2.4899999999999901E-2</v>
      </c>
      <c r="W11" s="5" t="e">
        <v>#DIV/0!</v>
      </c>
      <c r="X11" s="5" t="e">
        <v>#DIV/0!</v>
      </c>
      <c r="Y11" s="1">
        <v>6.3200000000000006E-2</v>
      </c>
      <c r="Z11" s="1">
        <v>2.4899999999999901E-2</v>
      </c>
    </row>
    <row r="12" spans="1:26" x14ac:dyDescent="0.25">
      <c r="B12" t="s">
        <v>16</v>
      </c>
      <c r="C12" s="5"/>
      <c r="D12" s="5"/>
      <c r="E12" s="1"/>
      <c r="F12" s="1"/>
      <c r="G12" s="5"/>
      <c r="H12" s="5"/>
      <c r="I12" s="1"/>
      <c r="J12" s="1"/>
      <c r="K12" s="5"/>
      <c r="L12" s="5"/>
      <c r="M12" s="1"/>
      <c r="N12" s="1"/>
      <c r="O12" s="5"/>
      <c r="P12" s="5"/>
      <c r="Q12" s="1"/>
      <c r="R12" s="1"/>
      <c r="S12" s="5" t="e">
        <v>#DIV/0!</v>
      </c>
      <c r="T12" s="5" t="e">
        <v>#DIV/0!</v>
      </c>
      <c r="U12" s="1">
        <v>0.2233</v>
      </c>
      <c r="V12" s="1">
        <v>8.6699999999999999E-2</v>
      </c>
      <c r="W12" s="5" t="e">
        <v>#DIV/0!</v>
      </c>
      <c r="X12" s="5" t="e">
        <v>#DIV/0!</v>
      </c>
      <c r="Y12" s="1">
        <v>0.2233</v>
      </c>
      <c r="Z12" s="1">
        <v>8.6699999999999999E-2</v>
      </c>
    </row>
    <row r="13" spans="1:26" x14ac:dyDescent="0.25">
      <c r="B13" t="s">
        <v>18</v>
      </c>
      <c r="C13" s="5"/>
      <c r="D13" s="5"/>
      <c r="E13" s="1"/>
      <c r="F13" s="1"/>
      <c r="G13" s="5"/>
      <c r="H13" s="5"/>
      <c r="I13" s="1"/>
      <c r="J13" s="1"/>
      <c r="K13" s="5"/>
      <c r="L13" s="5"/>
      <c r="M13" s="1"/>
      <c r="N13" s="1"/>
      <c r="O13" s="5"/>
      <c r="P13" s="5"/>
      <c r="Q13" s="1"/>
      <c r="R13" s="1"/>
      <c r="S13" s="5" t="e">
        <v>#DIV/0!</v>
      </c>
      <c r="T13" s="5" t="e">
        <v>#DIV/0!</v>
      </c>
      <c r="U13" s="1">
        <v>0.2515</v>
      </c>
      <c r="V13" s="1">
        <v>1.09E-2</v>
      </c>
      <c r="W13" s="5" t="e">
        <v>#DIV/0!</v>
      </c>
      <c r="X13" s="5" t="e">
        <v>#DIV/0!</v>
      </c>
      <c r="Y13" s="1">
        <v>0.2515</v>
      </c>
      <c r="Z13" s="1">
        <v>1.09E-2</v>
      </c>
    </row>
    <row r="14" spans="1:26" x14ac:dyDescent="0.25">
      <c r="B14" t="s">
        <v>20</v>
      </c>
      <c r="C14" s="5">
        <v>0.62150000000000005</v>
      </c>
      <c r="D14" s="5">
        <v>0.2014</v>
      </c>
      <c r="E14" s="1">
        <v>0.1973</v>
      </c>
      <c r="F14" s="1">
        <v>0.47539999999999999</v>
      </c>
      <c r="G14" s="5" t="e">
        <v>#DIV/0!</v>
      </c>
      <c r="H14" s="5">
        <v>0.2263</v>
      </c>
      <c r="I14" s="1">
        <v>0.18540000000000001</v>
      </c>
      <c r="J14" s="1">
        <v>0.3836</v>
      </c>
      <c r="K14" s="5" t="e">
        <v>#DIV/0!</v>
      </c>
      <c r="L14" s="5" t="e">
        <v>#DIV/0!</v>
      </c>
      <c r="M14" s="1">
        <v>0.1678</v>
      </c>
      <c r="N14" s="1">
        <v>0.38109999999999999</v>
      </c>
      <c r="O14" s="5" t="e">
        <v>#DIV/0!</v>
      </c>
      <c r="P14" s="5" t="e">
        <v>#DIV/0!</v>
      </c>
      <c r="Q14" s="1">
        <v>9.7500000000000003E-2</v>
      </c>
      <c r="R14" s="1">
        <v>0.1938</v>
      </c>
      <c r="S14" s="5" t="e">
        <v>#DIV/0!</v>
      </c>
      <c r="T14" s="5" t="e">
        <v>#DIV/0!</v>
      </c>
      <c r="U14" s="1">
        <v>0.36409999999999998</v>
      </c>
      <c r="V14" s="1">
        <v>0.31769999999999998</v>
      </c>
      <c r="W14" s="5">
        <v>0.62150000000000005</v>
      </c>
      <c r="X14" s="5">
        <v>0.21384999999999998</v>
      </c>
      <c r="Y14" s="1">
        <v>0.20241999999999999</v>
      </c>
      <c r="Z14" s="1">
        <v>0.35031999999999996</v>
      </c>
    </row>
    <row r="15" spans="1:26" x14ac:dyDescent="0.25">
      <c r="B15" t="s">
        <v>27</v>
      </c>
      <c r="C15" s="5">
        <v>0.65249999999999997</v>
      </c>
      <c r="D15" s="5">
        <v>0.2029</v>
      </c>
      <c r="E15" s="1">
        <v>0.23519999999999999</v>
      </c>
      <c r="F15" s="1">
        <v>0.54979999999999996</v>
      </c>
      <c r="G15" s="5" t="e">
        <v>#DIV/0!</v>
      </c>
      <c r="H15" s="5">
        <v>0.21729999999999999</v>
      </c>
      <c r="I15" s="1">
        <v>0.2442</v>
      </c>
      <c r="J15" s="1">
        <v>0.50490000000000002</v>
      </c>
      <c r="K15" s="5" t="e">
        <v>#DIV/0!</v>
      </c>
      <c r="L15" s="5" t="e">
        <v>#DIV/0!</v>
      </c>
      <c r="M15" s="1">
        <v>0.2228</v>
      </c>
      <c r="N15" s="1">
        <v>0.50419999999999998</v>
      </c>
      <c r="O15" s="5" t="e">
        <v>#DIV/0!</v>
      </c>
      <c r="P15" s="5" t="e">
        <v>#DIV/0!</v>
      </c>
      <c r="Q15" s="1">
        <v>0.24990000000000001</v>
      </c>
      <c r="R15" s="1">
        <v>0.46689999999999998</v>
      </c>
      <c r="S15" s="5" t="e">
        <v>#DIV/0!</v>
      </c>
      <c r="T15" s="5" t="e">
        <v>#DIV/0!</v>
      </c>
      <c r="U15" s="1">
        <v>0.51700000000000002</v>
      </c>
      <c r="V15" s="1">
        <v>0.40720000000000001</v>
      </c>
      <c r="W15" s="5">
        <v>0.65249999999999997</v>
      </c>
      <c r="X15" s="5">
        <v>0.21010000000000001</v>
      </c>
      <c r="Y15" s="1">
        <v>0.29382000000000003</v>
      </c>
      <c r="Z15" s="1">
        <v>0.48659999999999998</v>
      </c>
    </row>
    <row r="16" spans="1:26" x14ac:dyDescent="0.25">
      <c r="B16" t="s">
        <v>33</v>
      </c>
      <c r="C16" s="5">
        <v>0.57310000000000005</v>
      </c>
      <c r="D16" s="5">
        <v>0.157</v>
      </c>
      <c r="E16" s="1">
        <v>0.22520000000000001</v>
      </c>
      <c r="F16" s="1">
        <v>0.49469999999999997</v>
      </c>
      <c r="G16" s="5" t="e">
        <v>#DIV/0!</v>
      </c>
      <c r="H16" s="5">
        <v>0.19919999999999899</v>
      </c>
      <c r="I16" s="1">
        <v>0.18709999999999899</v>
      </c>
      <c r="J16" s="1">
        <v>0.2636</v>
      </c>
      <c r="K16" s="5" t="e">
        <v>#DIV/0!</v>
      </c>
      <c r="L16" s="5" t="e">
        <v>#DIV/0!</v>
      </c>
      <c r="M16" s="1">
        <v>0.1749</v>
      </c>
      <c r="N16" s="1">
        <v>0.2462</v>
      </c>
      <c r="O16" s="5" t="e">
        <v>#DIV/0!</v>
      </c>
      <c r="P16" s="5" t="e">
        <v>#DIV/0!</v>
      </c>
      <c r="Q16" s="1">
        <v>0.2697</v>
      </c>
      <c r="R16" s="1">
        <v>0.30580000000000002</v>
      </c>
      <c r="S16" s="5" t="e">
        <v>#DIV/0!</v>
      </c>
      <c r="T16" s="5" t="e">
        <v>#DIV/0!</v>
      </c>
      <c r="U16" s="1">
        <v>0.40849999999999898</v>
      </c>
      <c r="V16" s="1">
        <v>0.2301</v>
      </c>
      <c r="W16" s="5">
        <v>0.57310000000000005</v>
      </c>
      <c r="X16" s="5">
        <v>0.17809999999999948</v>
      </c>
      <c r="Y16" s="1">
        <v>0.25307999999999964</v>
      </c>
      <c r="Z16" s="1">
        <v>0.30808000000000002</v>
      </c>
    </row>
    <row r="17" spans="1:26" x14ac:dyDescent="0.25">
      <c r="B17" t="s">
        <v>39</v>
      </c>
      <c r="C17" s="5">
        <v>4.1300000000000003E-2</v>
      </c>
      <c r="D17" s="5">
        <v>4.0399999999999998E-2</v>
      </c>
      <c r="E17" s="1">
        <v>9.2899999999999996E-2</v>
      </c>
      <c r="F17" s="1">
        <v>0</v>
      </c>
      <c r="G17" s="5" t="e">
        <v>#DIV/0!</v>
      </c>
      <c r="H17" s="5">
        <v>3.4599999999999999E-2</v>
      </c>
      <c r="I17" s="1">
        <v>9.5299999999999996E-2</v>
      </c>
      <c r="J17" s="1">
        <v>3.7999999999999999E-2</v>
      </c>
      <c r="K17" s="5" t="e">
        <v>#DIV/0!</v>
      </c>
      <c r="L17" s="5" t="e">
        <v>#DIV/0!</v>
      </c>
      <c r="M17" s="1">
        <v>4.7899999999999998E-2</v>
      </c>
      <c r="N17" s="1">
        <v>0</v>
      </c>
      <c r="O17" s="5" t="e">
        <v>#DIV/0!</v>
      </c>
      <c r="P17" s="5" t="e">
        <v>#DIV/0!</v>
      </c>
      <c r="Q17" s="1">
        <v>0.16170000000000001</v>
      </c>
      <c r="R17" s="1">
        <v>1.11E-2</v>
      </c>
      <c r="S17" s="5" t="e">
        <v>#DIV/0!</v>
      </c>
      <c r="T17" s="5" t="e">
        <v>#DIV/0!</v>
      </c>
      <c r="U17" s="1">
        <v>7.7700000000000005E-2</v>
      </c>
      <c r="V17" s="1">
        <v>0</v>
      </c>
      <c r="W17" s="5">
        <v>4.1300000000000003E-2</v>
      </c>
      <c r="X17" s="5">
        <v>3.7499999999999999E-2</v>
      </c>
      <c r="Y17" s="1">
        <v>9.509999999999999E-2</v>
      </c>
      <c r="Z17" s="1">
        <v>9.8199999999999989E-3</v>
      </c>
    </row>
    <row r="18" spans="1:26" x14ac:dyDescent="0.25">
      <c r="B18" t="s">
        <v>45</v>
      </c>
      <c r="C18" s="5">
        <v>0.4919</v>
      </c>
      <c r="D18" s="5">
        <v>0.1837</v>
      </c>
      <c r="E18" s="1">
        <v>0.2525</v>
      </c>
      <c r="F18" s="1">
        <v>0.48249999999999998</v>
      </c>
      <c r="G18" s="5" t="e">
        <v>#DIV/0!</v>
      </c>
      <c r="H18" s="5">
        <v>0.21010000000000001</v>
      </c>
      <c r="I18" s="1">
        <v>0.2787</v>
      </c>
      <c r="J18" s="1">
        <v>0.46700000000000003</v>
      </c>
      <c r="K18" s="5" t="e">
        <v>#DIV/0!</v>
      </c>
      <c r="L18" s="5" t="e">
        <v>#DIV/0!</v>
      </c>
      <c r="M18" s="1">
        <v>0.2054</v>
      </c>
      <c r="N18" s="1">
        <v>0.35930000000000001</v>
      </c>
      <c r="O18" s="5" t="e">
        <v>#DIV/0!</v>
      </c>
      <c r="P18" s="5" t="e">
        <v>#DIV/0!</v>
      </c>
      <c r="Q18" s="1">
        <v>0.24970000000000001</v>
      </c>
      <c r="R18" s="1">
        <v>0.4965</v>
      </c>
      <c r="S18" s="5" t="e">
        <v>#DIV/0!</v>
      </c>
      <c r="T18" s="5" t="e">
        <v>#DIV/0!</v>
      </c>
      <c r="U18" s="1">
        <v>0.4753</v>
      </c>
      <c r="V18" s="1">
        <v>0.43919999999999898</v>
      </c>
      <c r="W18" s="5">
        <v>0.4919</v>
      </c>
      <c r="X18" s="5">
        <v>0.19690000000000002</v>
      </c>
      <c r="Y18" s="1">
        <v>0.29232000000000002</v>
      </c>
      <c r="Z18" s="1">
        <v>0.4488999999999998</v>
      </c>
    </row>
    <row r="19" spans="1:26" x14ac:dyDescent="0.25">
      <c r="B19" t="s">
        <v>51</v>
      </c>
      <c r="C19" s="5">
        <v>0.38059999999999999</v>
      </c>
      <c r="D19" s="5">
        <v>0.1009</v>
      </c>
      <c r="E19" s="1">
        <v>0.13930000000000001</v>
      </c>
      <c r="F19" s="1">
        <v>0.1663</v>
      </c>
      <c r="G19" s="5" t="e">
        <v>#DIV/0!</v>
      </c>
      <c r="H19" s="5">
        <v>0.1187</v>
      </c>
      <c r="I19" s="1">
        <v>0.17599999999999899</v>
      </c>
      <c r="J19" s="1">
        <v>0.37230000000000002</v>
      </c>
      <c r="K19" s="5" t="e">
        <v>#DIV/0!</v>
      </c>
      <c r="L19" s="5" t="e">
        <v>#DIV/0!</v>
      </c>
      <c r="M19" s="1">
        <v>0.22489999999999999</v>
      </c>
      <c r="N19" s="1">
        <v>0.39350000000000002</v>
      </c>
      <c r="O19" s="5" t="e">
        <v>#DIV/0!</v>
      </c>
      <c r="P19" s="5" t="e">
        <v>#DIV/0!</v>
      </c>
      <c r="Q19" s="1">
        <v>0.29039999999999999</v>
      </c>
      <c r="R19" s="1">
        <v>0.43630000000000002</v>
      </c>
      <c r="S19" s="5" t="e">
        <v>#DIV/0!</v>
      </c>
      <c r="T19" s="5" t="e">
        <v>#DIV/0!</v>
      </c>
      <c r="U19" s="1">
        <v>0.55269999999999897</v>
      </c>
      <c r="V19" s="1">
        <v>0.38579999999999998</v>
      </c>
      <c r="W19" s="5">
        <v>0.38059999999999999</v>
      </c>
      <c r="X19" s="5">
        <v>0.10980000000000001</v>
      </c>
      <c r="Y19" s="1">
        <v>0.27665999999999957</v>
      </c>
      <c r="Z19" s="1">
        <v>0.35083999999999993</v>
      </c>
    </row>
    <row r="20" spans="1:26" x14ac:dyDescent="0.25">
      <c r="B20" t="s">
        <v>57</v>
      </c>
      <c r="C20" s="5"/>
      <c r="D20" s="5"/>
      <c r="E20" s="1"/>
      <c r="F20" s="1"/>
      <c r="G20" s="5"/>
      <c r="H20" s="5"/>
      <c r="I20" s="1"/>
      <c r="J20" s="1"/>
      <c r="K20" s="5"/>
      <c r="L20" s="5"/>
      <c r="M20" s="1"/>
      <c r="N20" s="1"/>
      <c r="O20" s="5"/>
      <c r="P20" s="5"/>
      <c r="Q20" s="1"/>
      <c r="R20" s="1"/>
      <c r="S20" s="5" t="e">
        <v>#DIV/0!</v>
      </c>
      <c r="T20" s="5" t="e">
        <v>#DIV/0!</v>
      </c>
      <c r="U20" s="1">
        <v>0.35670000000000002</v>
      </c>
      <c r="V20" s="1">
        <v>0.33239999999999897</v>
      </c>
      <c r="W20" s="5" t="e">
        <v>#DIV/0!</v>
      </c>
      <c r="X20" s="5" t="e">
        <v>#DIV/0!</v>
      </c>
      <c r="Y20" s="1">
        <v>0.35670000000000002</v>
      </c>
      <c r="Z20" s="1">
        <v>0.33239999999999897</v>
      </c>
    </row>
    <row r="21" spans="1:26" x14ac:dyDescent="0.25">
      <c r="B21" t="s">
        <v>59</v>
      </c>
      <c r="C21" s="5"/>
      <c r="D21" s="5"/>
      <c r="E21" s="1"/>
      <c r="F21" s="1"/>
      <c r="G21" s="5"/>
      <c r="H21" s="5"/>
      <c r="I21" s="1"/>
      <c r="J21" s="1"/>
      <c r="K21" s="5"/>
      <c r="L21" s="5"/>
      <c r="M21" s="1"/>
      <c r="N21" s="1"/>
      <c r="O21" s="5"/>
      <c r="P21" s="5"/>
      <c r="Q21" s="1"/>
      <c r="R21" s="1"/>
      <c r="S21" s="5" t="e">
        <v>#DIV/0!</v>
      </c>
      <c r="T21" s="5" t="e">
        <v>#DIV/0!</v>
      </c>
      <c r="U21" s="1">
        <v>0.43759999999999999</v>
      </c>
      <c r="V21" s="1">
        <v>0.38440000000000002</v>
      </c>
      <c r="W21" s="5" t="e">
        <v>#DIV/0!</v>
      </c>
      <c r="X21" s="5" t="e">
        <v>#DIV/0!</v>
      </c>
      <c r="Y21" s="1">
        <v>0.43759999999999999</v>
      </c>
      <c r="Z21" s="1">
        <v>0.38440000000000002</v>
      </c>
    </row>
    <row r="22" spans="1:26" x14ac:dyDescent="0.25">
      <c r="B22" t="s">
        <v>61</v>
      </c>
      <c r="C22" s="5">
        <v>0.57640000000000002</v>
      </c>
      <c r="D22" s="5">
        <v>0.176699999999999</v>
      </c>
      <c r="E22" s="1">
        <v>0.1971</v>
      </c>
      <c r="F22" s="1">
        <v>0.34489999999999899</v>
      </c>
      <c r="G22" s="5" t="e">
        <v>#DIV/0!</v>
      </c>
      <c r="H22" s="5">
        <v>0.19350000000000001</v>
      </c>
      <c r="I22" s="1">
        <v>0.1477</v>
      </c>
      <c r="J22" s="1">
        <v>0.22600000000000001</v>
      </c>
      <c r="K22" s="5" t="e">
        <v>#DIV/0!</v>
      </c>
      <c r="L22" s="5" t="e">
        <v>#DIV/0!</v>
      </c>
      <c r="M22" s="1">
        <v>0.11210000000000001</v>
      </c>
      <c r="N22" s="1">
        <v>0.1676</v>
      </c>
      <c r="O22" s="5" t="e">
        <v>#DIV/0!</v>
      </c>
      <c r="P22" s="5" t="e">
        <v>#DIV/0!</v>
      </c>
      <c r="Q22" s="1">
        <v>5.9799999999999902E-2</v>
      </c>
      <c r="R22" s="1">
        <v>0.14630000000000001</v>
      </c>
      <c r="S22" s="5" t="e">
        <v>#DIV/0!</v>
      </c>
      <c r="T22" s="5" t="e">
        <v>#DIV/0!</v>
      </c>
      <c r="U22" s="1">
        <v>0.2843</v>
      </c>
      <c r="V22" s="1">
        <v>0.2243</v>
      </c>
      <c r="W22" s="5">
        <v>0.57640000000000002</v>
      </c>
      <c r="X22" s="5">
        <v>0.18509999999999949</v>
      </c>
      <c r="Y22" s="1">
        <v>0.16019999999999995</v>
      </c>
      <c r="Z22" s="1">
        <v>0.22181999999999977</v>
      </c>
    </row>
    <row r="23" spans="1:26" x14ac:dyDescent="0.25">
      <c r="B23" t="s">
        <v>67</v>
      </c>
      <c r="C23" s="5">
        <v>0.3589</v>
      </c>
      <c r="D23" s="5">
        <v>0.1391</v>
      </c>
      <c r="E23" s="1">
        <v>0.1391</v>
      </c>
      <c r="F23" s="1">
        <v>0.33090000000000003</v>
      </c>
      <c r="G23" s="5" t="e">
        <v>#DIV/0!</v>
      </c>
      <c r="H23" s="5">
        <v>0.1734</v>
      </c>
      <c r="I23" s="1">
        <v>0.20599999999999899</v>
      </c>
      <c r="J23" s="1">
        <v>0.31809999999999999</v>
      </c>
      <c r="K23" s="5" t="e">
        <v>#DIV/0!</v>
      </c>
      <c r="L23" s="5" t="e">
        <v>#DIV/0!</v>
      </c>
      <c r="M23" s="1">
        <v>8.48E-2</v>
      </c>
      <c r="N23" s="1">
        <v>0.28249999999999897</v>
      </c>
      <c r="O23" s="5" t="e">
        <v>#DIV/0!</v>
      </c>
      <c r="P23" s="5" t="e">
        <v>#DIV/0!</v>
      </c>
      <c r="Q23" s="1">
        <v>0.1283</v>
      </c>
      <c r="R23" s="1">
        <v>0.20930000000000001</v>
      </c>
      <c r="S23" s="5" t="e">
        <v>#DIV/0!</v>
      </c>
      <c r="T23" s="5" t="e">
        <v>#DIV/0!</v>
      </c>
      <c r="U23" s="1">
        <v>0.43219999999999997</v>
      </c>
      <c r="V23" s="1">
        <v>0.22919999999999899</v>
      </c>
      <c r="W23" s="5">
        <v>0.3589</v>
      </c>
      <c r="X23" s="5">
        <v>0.15625</v>
      </c>
      <c r="Y23" s="1">
        <v>0.19807999999999976</v>
      </c>
      <c r="Z23" s="1">
        <v>0.27399999999999958</v>
      </c>
    </row>
    <row r="24" spans="1:26" x14ac:dyDescent="0.25">
      <c r="A24" t="s">
        <v>181</v>
      </c>
      <c r="C24" s="5">
        <v>0.4937454545454546</v>
      </c>
      <c r="D24" s="5">
        <v>0.16763636363636356</v>
      </c>
      <c r="E24" s="1">
        <v>0.198190909090909</v>
      </c>
      <c r="F24" s="1">
        <v>0.37594545454545442</v>
      </c>
      <c r="G24" s="5" t="e">
        <v>#DIV/0!</v>
      </c>
      <c r="H24" s="5">
        <v>0.19465454545454533</v>
      </c>
      <c r="I24" s="1">
        <v>0.2056636363636361</v>
      </c>
      <c r="J24" s="1">
        <v>0.37166363636363636</v>
      </c>
      <c r="K24" s="5" t="e">
        <v>#DIV/0!</v>
      </c>
      <c r="L24" s="5" t="e">
        <v>#DIV/0!</v>
      </c>
      <c r="M24" s="1">
        <v>0.16907272727272729</v>
      </c>
      <c r="N24" s="1">
        <v>0.31997272727272702</v>
      </c>
      <c r="O24" s="5" t="e">
        <v>#DIV/0!</v>
      </c>
      <c r="P24" s="5" t="e">
        <v>#DIV/0!</v>
      </c>
      <c r="Q24" s="1">
        <v>0.21902727272727274</v>
      </c>
      <c r="R24" s="1">
        <v>0.33471818181818186</v>
      </c>
      <c r="S24" s="5" t="e">
        <v>#DIV/0!</v>
      </c>
      <c r="T24" s="5" t="e">
        <v>#DIV/0!</v>
      </c>
      <c r="U24" s="1">
        <v>0.35944705882352918</v>
      </c>
      <c r="V24" s="1">
        <v>0.28371176470588222</v>
      </c>
      <c r="W24" s="5">
        <v>0.4937454545454546</v>
      </c>
      <c r="X24" s="5">
        <v>0.18114545454545447</v>
      </c>
      <c r="Y24" s="1">
        <v>0.24298524590163928</v>
      </c>
      <c r="Z24" s="1">
        <v>0.33194098360655722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1D39-1653-4C2C-BE88-1A1365B7EA4E}">
  <dimension ref="A1:J62"/>
  <sheetViews>
    <sheetView workbookViewId="0">
      <selection activeCell="J48" sqref="J48:J62"/>
    </sheetView>
  </sheetViews>
  <sheetFormatPr defaultRowHeight="13.8" x14ac:dyDescent="0.25"/>
  <cols>
    <col min="1" max="1" width="12.77734375" bestFit="1" customWidth="1"/>
    <col min="2" max="2" width="18.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210</v>
      </c>
    </row>
    <row r="2" spans="1:10" x14ac:dyDescent="0.25">
      <c r="A2" s="3" t="s">
        <v>92</v>
      </c>
      <c r="B2" s="3" t="s">
        <v>20</v>
      </c>
      <c r="C2" s="3" t="s">
        <v>21</v>
      </c>
      <c r="D2" s="3" t="s">
        <v>93</v>
      </c>
      <c r="E2" s="3">
        <v>1</v>
      </c>
      <c r="F2" s="4">
        <v>0.62150000000000005</v>
      </c>
      <c r="G2" s="4">
        <v>0.2014</v>
      </c>
      <c r="H2" s="4">
        <v>0.1973</v>
      </c>
      <c r="I2" s="4">
        <v>0.47539999999999999</v>
      </c>
      <c r="J2" t="s">
        <v>211</v>
      </c>
    </row>
    <row r="3" spans="1:10" x14ac:dyDescent="0.25">
      <c r="A3" s="3" t="s">
        <v>92</v>
      </c>
      <c r="B3" s="3" t="s">
        <v>20</v>
      </c>
      <c r="C3" s="3" t="s">
        <v>21</v>
      </c>
      <c r="D3" s="3" t="s">
        <v>94</v>
      </c>
      <c r="E3" s="3">
        <v>2</v>
      </c>
      <c r="F3" s="3" t="s">
        <v>13</v>
      </c>
      <c r="G3" s="4">
        <v>0.2263</v>
      </c>
      <c r="H3" s="4">
        <v>0.18540000000000001</v>
      </c>
      <c r="I3" s="4">
        <v>0.3836</v>
      </c>
      <c r="J3" t="s">
        <v>211</v>
      </c>
    </row>
    <row r="4" spans="1:10" x14ac:dyDescent="0.25">
      <c r="A4" s="3" t="s">
        <v>92</v>
      </c>
      <c r="B4" s="3" t="s">
        <v>20</v>
      </c>
      <c r="C4" s="3" t="s">
        <v>11</v>
      </c>
      <c r="D4" s="3" t="s">
        <v>95</v>
      </c>
      <c r="E4" s="3">
        <v>1</v>
      </c>
      <c r="F4" s="3" t="s">
        <v>13</v>
      </c>
      <c r="G4" s="3" t="s">
        <v>13</v>
      </c>
      <c r="H4" s="4">
        <v>0.1678</v>
      </c>
      <c r="I4" s="4">
        <v>0.38109999999999999</v>
      </c>
      <c r="J4" t="s">
        <v>211</v>
      </c>
    </row>
    <row r="5" spans="1:10" x14ac:dyDescent="0.25">
      <c r="A5" s="3" t="s">
        <v>92</v>
      </c>
      <c r="B5" s="3" t="s">
        <v>20</v>
      </c>
      <c r="C5" s="3" t="s">
        <v>11</v>
      </c>
      <c r="D5" s="3" t="s">
        <v>96</v>
      </c>
      <c r="E5" s="3">
        <v>2</v>
      </c>
      <c r="F5" s="3" t="s">
        <v>13</v>
      </c>
      <c r="G5" s="3" t="s">
        <v>13</v>
      </c>
      <c r="H5" s="4">
        <v>9.7500000000000003E-2</v>
      </c>
      <c r="I5" s="4">
        <v>0.1938</v>
      </c>
      <c r="J5" t="s">
        <v>211</v>
      </c>
    </row>
    <row r="6" spans="1:10" x14ac:dyDescent="0.25">
      <c r="A6" s="3" t="s">
        <v>92</v>
      </c>
      <c r="B6" s="3" t="s">
        <v>27</v>
      </c>
      <c r="C6" s="3" t="s">
        <v>21</v>
      </c>
      <c r="D6" s="3" t="s">
        <v>97</v>
      </c>
      <c r="E6" s="3">
        <v>1</v>
      </c>
      <c r="F6" s="4">
        <v>0.65249999999999997</v>
      </c>
      <c r="G6" s="4">
        <v>0.2029</v>
      </c>
      <c r="H6" s="4">
        <v>0.23519999999999999</v>
      </c>
      <c r="I6" s="4">
        <v>0.54979999999999996</v>
      </c>
      <c r="J6" t="s">
        <v>211</v>
      </c>
    </row>
    <row r="7" spans="1:10" x14ac:dyDescent="0.25">
      <c r="A7" s="3" t="s">
        <v>92</v>
      </c>
      <c r="B7" s="3" t="s">
        <v>27</v>
      </c>
      <c r="C7" s="3" t="s">
        <v>21</v>
      </c>
      <c r="D7" s="3" t="s">
        <v>98</v>
      </c>
      <c r="E7" s="3">
        <v>2</v>
      </c>
      <c r="F7" s="3" t="s">
        <v>13</v>
      </c>
      <c r="G7" s="4">
        <v>0.21729999999999999</v>
      </c>
      <c r="H7" s="4">
        <v>0.2442</v>
      </c>
      <c r="I7" s="4">
        <v>0.50490000000000002</v>
      </c>
      <c r="J7" t="s">
        <v>211</v>
      </c>
    </row>
    <row r="8" spans="1:10" x14ac:dyDescent="0.25">
      <c r="A8" s="3" t="s">
        <v>92</v>
      </c>
      <c r="B8" s="3" t="s">
        <v>27</v>
      </c>
      <c r="C8" s="3" t="s">
        <v>11</v>
      </c>
      <c r="D8" s="3" t="s">
        <v>99</v>
      </c>
      <c r="E8" s="3">
        <v>1</v>
      </c>
      <c r="F8" s="3" t="s">
        <v>13</v>
      </c>
      <c r="G8" s="3" t="s">
        <v>13</v>
      </c>
      <c r="H8" s="4">
        <v>0.2228</v>
      </c>
      <c r="I8" s="4">
        <v>0.50419999999999998</v>
      </c>
      <c r="J8" t="s">
        <v>211</v>
      </c>
    </row>
    <row r="9" spans="1:10" x14ac:dyDescent="0.25">
      <c r="A9" s="3" t="s">
        <v>92</v>
      </c>
      <c r="B9" s="3" t="s">
        <v>27</v>
      </c>
      <c r="C9" s="3" t="s">
        <v>11</v>
      </c>
      <c r="D9" s="3" t="s">
        <v>100</v>
      </c>
      <c r="E9" s="3">
        <v>2</v>
      </c>
      <c r="F9" s="3" t="s">
        <v>13</v>
      </c>
      <c r="G9" s="3" t="s">
        <v>13</v>
      </c>
      <c r="H9" s="4">
        <v>0.24990000000000001</v>
      </c>
      <c r="I9" s="4">
        <v>0.46689999999999998</v>
      </c>
      <c r="J9" t="s">
        <v>211</v>
      </c>
    </row>
    <row r="10" spans="1:10" x14ac:dyDescent="0.25">
      <c r="A10" s="3" t="s">
        <v>92</v>
      </c>
      <c r="B10" s="3" t="s">
        <v>33</v>
      </c>
      <c r="C10" s="3" t="s">
        <v>21</v>
      </c>
      <c r="D10" s="3" t="s">
        <v>101</v>
      </c>
      <c r="E10" s="3">
        <v>1</v>
      </c>
      <c r="F10" s="4">
        <v>0.57310000000000005</v>
      </c>
      <c r="G10" s="4">
        <v>0.157</v>
      </c>
      <c r="H10" s="4">
        <v>0.22520000000000001</v>
      </c>
      <c r="I10" s="4">
        <v>0.49469999999999997</v>
      </c>
      <c r="J10" t="s">
        <v>211</v>
      </c>
    </row>
    <row r="11" spans="1:10" x14ac:dyDescent="0.25">
      <c r="A11" s="3" t="s">
        <v>92</v>
      </c>
      <c r="B11" s="3" t="s">
        <v>33</v>
      </c>
      <c r="C11" s="3" t="s">
        <v>21</v>
      </c>
      <c r="D11" s="3" t="s">
        <v>102</v>
      </c>
      <c r="E11" s="3">
        <v>2</v>
      </c>
      <c r="F11" s="3" t="s">
        <v>13</v>
      </c>
      <c r="G11" s="4">
        <v>0.19919999999999899</v>
      </c>
      <c r="H11" s="4">
        <v>0.18709999999999899</v>
      </c>
      <c r="I11" s="4">
        <v>0.2636</v>
      </c>
      <c r="J11" t="s">
        <v>211</v>
      </c>
    </row>
    <row r="12" spans="1:10" x14ac:dyDescent="0.25">
      <c r="A12" s="3" t="s">
        <v>92</v>
      </c>
      <c r="B12" s="3" t="s">
        <v>33</v>
      </c>
      <c r="C12" s="3" t="s">
        <v>11</v>
      </c>
      <c r="D12" s="3" t="s">
        <v>103</v>
      </c>
      <c r="E12" s="3">
        <v>1</v>
      </c>
      <c r="F12" s="3" t="s">
        <v>13</v>
      </c>
      <c r="G12" s="3" t="s">
        <v>13</v>
      </c>
      <c r="H12" s="4">
        <v>0.1749</v>
      </c>
      <c r="I12" s="4">
        <v>0.2462</v>
      </c>
      <c r="J12" t="s">
        <v>211</v>
      </c>
    </row>
    <row r="13" spans="1:10" x14ac:dyDescent="0.25">
      <c r="A13" s="3" t="s">
        <v>92</v>
      </c>
      <c r="B13" s="3" t="s">
        <v>33</v>
      </c>
      <c r="C13" s="3" t="s">
        <v>11</v>
      </c>
      <c r="D13" s="3" t="s">
        <v>104</v>
      </c>
      <c r="E13" s="3">
        <v>2</v>
      </c>
      <c r="F13" s="3" t="s">
        <v>13</v>
      </c>
      <c r="G13" s="3" t="s">
        <v>13</v>
      </c>
      <c r="H13" s="4">
        <v>0.2697</v>
      </c>
      <c r="I13" s="4">
        <v>0.30580000000000002</v>
      </c>
      <c r="J13" t="s">
        <v>211</v>
      </c>
    </row>
    <row r="14" spans="1:10" x14ac:dyDescent="0.25">
      <c r="A14" s="3" t="s">
        <v>92</v>
      </c>
      <c r="B14" s="3" t="s">
        <v>39</v>
      </c>
      <c r="C14" s="3" t="s">
        <v>21</v>
      </c>
      <c r="D14" s="3" t="s">
        <v>105</v>
      </c>
      <c r="E14" s="3">
        <v>1</v>
      </c>
      <c r="F14" s="4">
        <v>4.1300000000000003E-2</v>
      </c>
      <c r="G14" s="4">
        <v>4.0399999999999998E-2</v>
      </c>
      <c r="H14" s="4">
        <v>9.2899999999999996E-2</v>
      </c>
      <c r="I14" s="4">
        <v>0</v>
      </c>
      <c r="J14" t="s">
        <v>211</v>
      </c>
    </row>
    <row r="15" spans="1:10" x14ac:dyDescent="0.25">
      <c r="A15" s="3" t="s">
        <v>92</v>
      </c>
      <c r="B15" s="3" t="s">
        <v>39</v>
      </c>
      <c r="C15" s="3" t="s">
        <v>21</v>
      </c>
      <c r="D15" s="3" t="s">
        <v>106</v>
      </c>
      <c r="E15" s="3">
        <v>2</v>
      </c>
      <c r="F15" s="3" t="s">
        <v>13</v>
      </c>
      <c r="G15" s="4">
        <v>3.4599999999999999E-2</v>
      </c>
      <c r="H15" s="4">
        <v>9.5299999999999996E-2</v>
      </c>
      <c r="I15" s="4">
        <v>3.7999999999999999E-2</v>
      </c>
      <c r="J15" t="s">
        <v>211</v>
      </c>
    </row>
    <row r="16" spans="1:10" x14ac:dyDescent="0.25">
      <c r="A16" s="3" t="s">
        <v>92</v>
      </c>
      <c r="B16" s="3" t="s">
        <v>39</v>
      </c>
      <c r="C16" s="3" t="s">
        <v>11</v>
      </c>
      <c r="D16" s="3" t="s">
        <v>107</v>
      </c>
      <c r="E16" s="3">
        <v>1</v>
      </c>
      <c r="F16" s="3" t="s">
        <v>13</v>
      </c>
      <c r="G16" s="3" t="s">
        <v>13</v>
      </c>
      <c r="H16" s="4">
        <v>4.7899999999999998E-2</v>
      </c>
      <c r="I16" s="4">
        <v>0</v>
      </c>
      <c r="J16" t="s">
        <v>211</v>
      </c>
    </row>
    <row r="17" spans="1:10" x14ac:dyDescent="0.25">
      <c r="A17" s="3" t="s">
        <v>92</v>
      </c>
      <c r="B17" s="3" t="s">
        <v>39</v>
      </c>
      <c r="C17" s="3" t="s">
        <v>11</v>
      </c>
      <c r="D17" s="3" t="s">
        <v>108</v>
      </c>
      <c r="E17" s="3">
        <v>2</v>
      </c>
      <c r="F17" s="3" t="s">
        <v>13</v>
      </c>
      <c r="G17" s="3" t="s">
        <v>13</v>
      </c>
      <c r="H17" s="4">
        <v>0.16170000000000001</v>
      </c>
      <c r="I17" s="4">
        <v>1.11E-2</v>
      </c>
      <c r="J17" t="s">
        <v>211</v>
      </c>
    </row>
    <row r="18" spans="1:10" x14ac:dyDescent="0.25">
      <c r="A18" s="3" t="s">
        <v>92</v>
      </c>
      <c r="B18" s="3" t="s">
        <v>45</v>
      </c>
      <c r="C18" s="3" t="s">
        <v>21</v>
      </c>
      <c r="D18" s="3" t="s">
        <v>109</v>
      </c>
      <c r="E18" s="3">
        <v>1</v>
      </c>
      <c r="F18" s="4">
        <v>0.4919</v>
      </c>
      <c r="G18" s="4">
        <v>0.1837</v>
      </c>
      <c r="H18" s="4">
        <v>0.2525</v>
      </c>
      <c r="I18" s="4">
        <v>0.48249999999999998</v>
      </c>
      <c r="J18" t="s">
        <v>211</v>
      </c>
    </row>
    <row r="19" spans="1:10" x14ac:dyDescent="0.25">
      <c r="A19" s="3" t="s">
        <v>92</v>
      </c>
      <c r="B19" s="3" t="s">
        <v>45</v>
      </c>
      <c r="C19" s="3" t="s">
        <v>21</v>
      </c>
      <c r="D19" s="3" t="s">
        <v>110</v>
      </c>
      <c r="E19" s="3">
        <v>2</v>
      </c>
      <c r="F19" s="3" t="s">
        <v>13</v>
      </c>
      <c r="G19" s="4">
        <v>0.21010000000000001</v>
      </c>
      <c r="H19" s="4">
        <v>0.2787</v>
      </c>
      <c r="I19" s="4">
        <v>0.46700000000000003</v>
      </c>
      <c r="J19" t="s">
        <v>211</v>
      </c>
    </row>
    <row r="20" spans="1:10" x14ac:dyDescent="0.25">
      <c r="A20" s="3" t="s">
        <v>92</v>
      </c>
      <c r="B20" s="3" t="s">
        <v>45</v>
      </c>
      <c r="C20" s="3" t="s">
        <v>11</v>
      </c>
      <c r="D20" s="3" t="s">
        <v>111</v>
      </c>
      <c r="E20" s="3">
        <v>1</v>
      </c>
      <c r="F20" s="3" t="s">
        <v>13</v>
      </c>
      <c r="G20" s="3" t="s">
        <v>13</v>
      </c>
      <c r="H20" s="4">
        <v>0.2054</v>
      </c>
      <c r="I20" s="4">
        <v>0.35930000000000001</v>
      </c>
      <c r="J20" t="s">
        <v>211</v>
      </c>
    </row>
    <row r="21" spans="1:10" x14ac:dyDescent="0.25">
      <c r="A21" s="3" t="s">
        <v>92</v>
      </c>
      <c r="B21" s="3" t="s">
        <v>45</v>
      </c>
      <c r="C21" s="3" t="s">
        <v>11</v>
      </c>
      <c r="D21" s="3" t="s">
        <v>112</v>
      </c>
      <c r="E21" s="3">
        <v>2</v>
      </c>
      <c r="F21" s="3" t="s">
        <v>13</v>
      </c>
      <c r="G21" s="3" t="s">
        <v>13</v>
      </c>
      <c r="H21" s="4">
        <v>0.24970000000000001</v>
      </c>
      <c r="I21" s="4">
        <v>0.4965</v>
      </c>
      <c r="J21" t="s">
        <v>211</v>
      </c>
    </row>
    <row r="22" spans="1:10" x14ac:dyDescent="0.25">
      <c r="A22" s="3" t="s">
        <v>92</v>
      </c>
      <c r="B22" s="3" t="s">
        <v>51</v>
      </c>
      <c r="C22" s="3" t="s">
        <v>21</v>
      </c>
      <c r="D22" s="3" t="s">
        <v>113</v>
      </c>
      <c r="E22" s="3">
        <v>1</v>
      </c>
      <c r="F22" s="4">
        <v>0.38059999999999999</v>
      </c>
      <c r="G22" s="4">
        <v>0.1009</v>
      </c>
      <c r="H22" s="4">
        <v>0.13930000000000001</v>
      </c>
      <c r="I22" s="4">
        <v>0.1663</v>
      </c>
      <c r="J22" t="s">
        <v>211</v>
      </c>
    </row>
    <row r="23" spans="1:10" x14ac:dyDescent="0.25">
      <c r="A23" s="3" t="s">
        <v>92</v>
      </c>
      <c r="B23" s="3" t="s">
        <v>51</v>
      </c>
      <c r="C23" s="3" t="s">
        <v>21</v>
      </c>
      <c r="D23" s="3" t="s">
        <v>114</v>
      </c>
      <c r="E23" s="3">
        <v>2</v>
      </c>
      <c r="F23" s="3" t="s">
        <v>13</v>
      </c>
      <c r="G23" s="4">
        <v>0.1187</v>
      </c>
      <c r="H23" s="4">
        <v>0.17599999999999899</v>
      </c>
      <c r="I23" s="4">
        <v>0.37230000000000002</v>
      </c>
      <c r="J23" t="s">
        <v>211</v>
      </c>
    </row>
    <row r="24" spans="1:10" x14ac:dyDescent="0.25">
      <c r="A24" s="3" t="s">
        <v>92</v>
      </c>
      <c r="B24" s="3" t="s">
        <v>51</v>
      </c>
      <c r="C24" s="3" t="s">
        <v>11</v>
      </c>
      <c r="D24" s="3" t="s">
        <v>115</v>
      </c>
      <c r="E24" s="3">
        <v>1</v>
      </c>
      <c r="F24" s="3" t="s">
        <v>13</v>
      </c>
      <c r="G24" s="3" t="s">
        <v>13</v>
      </c>
      <c r="H24" s="4">
        <v>0.22489999999999999</v>
      </c>
      <c r="I24" s="4">
        <v>0.39350000000000002</v>
      </c>
      <c r="J24" t="s">
        <v>211</v>
      </c>
    </row>
    <row r="25" spans="1:10" x14ac:dyDescent="0.25">
      <c r="A25" s="3" t="s">
        <v>92</v>
      </c>
      <c r="B25" s="3" t="s">
        <v>51</v>
      </c>
      <c r="C25" s="3" t="s">
        <v>11</v>
      </c>
      <c r="D25" s="3" t="s">
        <v>116</v>
      </c>
      <c r="E25" s="3">
        <v>2</v>
      </c>
      <c r="F25" s="3" t="s">
        <v>13</v>
      </c>
      <c r="G25" s="3" t="s">
        <v>13</v>
      </c>
      <c r="H25" s="4">
        <v>0.29039999999999999</v>
      </c>
      <c r="I25" s="4">
        <v>0.43630000000000002</v>
      </c>
      <c r="J25" t="s">
        <v>211</v>
      </c>
    </row>
    <row r="26" spans="1:10" x14ac:dyDescent="0.25">
      <c r="A26" s="3" t="s">
        <v>92</v>
      </c>
      <c r="B26" s="3" t="s">
        <v>61</v>
      </c>
      <c r="C26" s="3" t="s">
        <v>21</v>
      </c>
      <c r="D26" s="3" t="s">
        <v>117</v>
      </c>
      <c r="E26" s="3">
        <v>1</v>
      </c>
      <c r="F26" s="4">
        <v>0.57640000000000002</v>
      </c>
      <c r="G26" s="4">
        <v>0.176699999999999</v>
      </c>
      <c r="H26" s="4">
        <v>0.1971</v>
      </c>
      <c r="I26" s="4">
        <v>0.34489999999999899</v>
      </c>
      <c r="J26" t="s">
        <v>211</v>
      </c>
    </row>
    <row r="27" spans="1:10" x14ac:dyDescent="0.25">
      <c r="A27" s="3" t="s">
        <v>92</v>
      </c>
      <c r="B27" s="3" t="s">
        <v>61</v>
      </c>
      <c r="C27" s="3" t="s">
        <v>21</v>
      </c>
      <c r="D27" s="3" t="s">
        <v>118</v>
      </c>
      <c r="E27" s="3">
        <v>2</v>
      </c>
      <c r="F27" s="3" t="s">
        <v>13</v>
      </c>
      <c r="G27" s="4">
        <v>0.19350000000000001</v>
      </c>
      <c r="H27" s="4">
        <v>0.1477</v>
      </c>
      <c r="I27" s="4">
        <v>0.22600000000000001</v>
      </c>
      <c r="J27" t="s">
        <v>211</v>
      </c>
    </row>
    <row r="28" spans="1:10" x14ac:dyDescent="0.25">
      <c r="A28" s="3" t="s">
        <v>92</v>
      </c>
      <c r="B28" s="3" t="s">
        <v>61</v>
      </c>
      <c r="C28" s="3" t="s">
        <v>11</v>
      </c>
      <c r="D28" s="3" t="s">
        <v>119</v>
      </c>
      <c r="E28" s="3">
        <v>1</v>
      </c>
      <c r="F28" s="3" t="s">
        <v>13</v>
      </c>
      <c r="G28" s="3" t="s">
        <v>13</v>
      </c>
      <c r="H28" s="4">
        <v>0.11210000000000001</v>
      </c>
      <c r="I28" s="4">
        <v>0.1676</v>
      </c>
      <c r="J28" t="s">
        <v>211</v>
      </c>
    </row>
    <row r="29" spans="1:10" x14ac:dyDescent="0.25">
      <c r="A29" s="3" t="s">
        <v>92</v>
      </c>
      <c r="B29" s="3" t="s">
        <v>61</v>
      </c>
      <c r="C29" s="3" t="s">
        <v>11</v>
      </c>
      <c r="D29" s="3" t="s">
        <v>120</v>
      </c>
      <c r="E29" s="3">
        <v>2</v>
      </c>
      <c r="F29" s="3" t="s">
        <v>13</v>
      </c>
      <c r="G29" s="3" t="s">
        <v>13</v>
      </c>
      <c r="H29" s="4">
        <v>5.9799999999999902E-2</v>
      </c>
      <c r="I29" s="4">
        <v>0.14630000000000001</v>
      </c>
      <c r="J29" t="s">
        <v>211</v>
      </c>
    </row>
    <row r="30" spans="1:10" x14ac:dyDescent="0.25">
      <c r="A30" s="3" t="s">
        <v>92</v>
      </c>
      <c r="B30" s="3" t="s">
        <v>67</v>
      </c>
      <c r="C30" s="3" t="s">
        <v>21</v>
      </c>
      <c r="D30" s="3" t="s">
        <v>121</v>
      </c>
      <c r="E30" s="3">
        <v>1</v>
      </c>
      <c r="F30" s="4">
        <v>0.3589</v>
      </c>
      <c r="G30" s="4">
        <v>0.1391</v>
      </c>
      <c r="H30" s="4">
        <v>0.1391</v>
      </c>
      <c r="I30" s="4">
        <v>0.33090000000000003</v>
      </c>
      <c r="J30" t="s">
        <v>211</v>
      </c>
    </row>
    <row r="31" spans="1:10" x14ac:dyDescent="0.25">
      <c r="A31" s="3" t="s">
        <v>92</v>
      </c>
      <c r="B31" s="3" t="s">
        <v>67</v>
      </c>
      <c r="C31" s="3" t="s">
        <v>21</v>
      </c>
      <c r="D31" s="3" t="s">
        <v>122</v>
      </c>
      <c r="E31" s="3">
        <v>2</v>
      </c>
      <c r="F31" s="3" t="s">
        <v>13</v>
      </c>
      <c r="G31" s="4">
        <v>0.1734</v>
      </c>
      <c r="H31" s="4">
        <v>0.20599999999999899</v>
      </c>
      <c r="I31" s="4">
        <v>0.31809999999999999</v>
      </c>
      <c r="J31" t="s">
        <v>211</v>
      </c>
    </row>
    <row r="32" spans="1:10" x14ac:dyDescent="0.25">
      <c r="A32" s="3" t="s">
        <v>92</v>
      </c>
      <c r="B32" s="3" t="s">
        <v>67</v>
      </c>
      <c r="C32" s="3" t="s">
        <v>11</v>
      </c>
      <c r="D32" s="3" t="s">
        <v>123</v>
      </c>
      <c r="E32" s="3">
        <v>1</v>
      </c>
      <c r="F32" s="3" t="s">
        <v>13</v>
      </c>
      <c r="G32" s="3" t="s">
        <v>13</v>
      </c>
      <c r="H32" s="4">
        <v>8.48E-2</v>
      </c>
      <c r="I32" s="4">
        <v>0.28249999999999897</v>
      </c>
      <c r="J32" t="s">
        <v>211</v>
      </c>
    </row>
    <row r="33" spans="1:10" x14ac:dyDescent="0.25">
      <c r="A33" s="3" t="s">
        <v>92</v>
      </c>
      <c r="B33" s="3" t="s">
        <v>67</v>
      </c>
      <c r="C33" s="3" t="s">
        <v>11</v>
      </c>
      <c r="D33" s="3" t="s">
        <v>124</v>
      </c>
      <c r="E33" s="3">
        <v>2</v>
      </c>
      <c r="F33" s="3" t="s">
        <v>13</v>
      </c>
      <c r="G33" s="3" t="s">
        <v>13</v>
      </c>
      <c r="H33" s="4">
        <v>0.1283</v>
      </c>
      <c r="I33" s="4">
        <v>0.20930000000000001</v>
      </c>
      <c r="J33" t="s">
        <v>211</v>
      </c>
    </row>
    <row r="34" spans="1:10" x14ac:dyDescent="0.25">
      <c r="A34" s="3" t="s">
        <v>195</v>
      </c>
      <c r="B34" s="3" t="s">
        <v>10</v>
      </c>
      <c r="C34" s="3" t="s">
        <v>11</v>
      </c>
      <c r="D34" s="3" t="s">
        <v>196</v>
      </c>
      <c r="E34" s="3">
        <v>3</v>
      </c>
      <c r="F34" s="3" t="s">
        <v>13</v>
      </c>
      <c r="G34" s="3" t="s">
        <v>13</v>
      </c>
      <c r="H34" s="4">
        <v>0.1106</v>
      </c>
      <c r="I34" s="4">
        <v>0.1215</v>
      </c>
      <c r="J34" t="s">
        <v>211</v>
      </c>
    </row>
    <row r="35" spans="1:10" x14ac:dyDescent="0.25">
      <c r="A35" s="3" t="s">
        <v>195</v>
      </c>
      <c r="B35" s="3" t="s">
        <v>14</v>
      </c>
      <c r="C35" s="3" t="s">
        <v>11</v>
      </c>
      <c r="D35" s="3" t="s">
        <v>197</v>
      </c>
      <c r="E35" s="3">
        <v>3</v>
      </c>
      <c r="F35" s="3" t="s">
        <v>13</v>
      </c>
      <c r="G35" s="3" t="s">
        <v>13</v>
      </c>
      <c r="H35" s="4">
        <v>6.3200000000000006E-2</v>
      </c>
      <c r="I35" s="4">
        <v>2.4899999999999901E-2</v>
      </c>
      <c r="J35" t="s">
        <v>211</v>
      </c>
    </row>
    <row r="36" spans="1:10" x14ac:dyDescent="0.25">
      <c r="A36" s="3" t="s">
        <v>195</v>
      </c>
      <c r="B36" s="3" t="s">
        <v>16</v>
      </c>
      <c r="C36" s="3" t="s">
        <v>11</v>
      </c>
      <c r="D36" s="3" t="s">
        <v>198</v>
      </c>
      <c r="E36" s="3">
        <v>3</v>
      </c>
      <c r="F36" s="3" t="s">
        <v>13</v>
      </c>
      <c r="G36" s="3" t="s">
        <v>13</v>
      </c>
      <c r="H36" s="4">
        <v>0.2233</v>
      </c>
      <c r="I36" s="4">
        <v>8.6699999999999999E-2</v>
      </c>
      <c r="J36" t="s">
        <v>211</v>
      </c>
    </row>
    <row r="37" spans="1:10" x14ac:dyDescent="0.25">
      <c r="A37" s="3" t="s">
        <v>195</v>
      </c>
      <c r="B37" s="3" t="s">
        <v>18</v>
      </c>
      <c r="C37" s="3" t="s">
        <v>11</v>
      </c>
      <c r="D37" s="3" t="s">
        <v>199</v>
      </c>
      <c r="E37" s="3">
        <v>3</v>
      </c>
      <c r="F37" s="3" t="s">
        <v>13</v>
      </c>
      <c r="G37" s="3" t="s">
        <v>13</v>
      </c>
      <c r="H37" s="4">
        <v>0.2515</v>
      </c>
      <c r="I37" s="4">
        <v>1.09E-2</v>
      </c>
      <c r="J37" t="s">
        <v>211</v>
      </c>
    </row>
    <row r="38" spans="1:10" x14ac:dyDescent="0.25">
      <c r="A38" s="3" t="s">
        <v>195</v>
      </c>
      <c r="B38" s="3" t="s">
        <v>20</v>
      </c>
      <c r="C38" s="3" t="s">
        <v>11</v>
      </c>
      <c r="D38" s="3" t="s">
        <v>200</v>
      </c>
      <c r="E38" s="3">
        <v>3</v>
      </c>
      <c r="F38" s="3" t="s">
        <v>13</v>
      </c>
      <c r="G38" s="3" t="s">
        <v>13</v>
      </c>
      <c r="H38" s="4">
        <v>0.36409999999999998</v>
      </c>
      <c r="I38" s="4">
        <v>0.31769999999999998</v>
      </c>
      <c r="J38" t="s">
        <v>211</v>
      </c>
    </row>
    <row r="39" spans="1:10" x14ac:dyDescent="0.25">
      <c r="A39" s="3" t="s">
        <v>195</v>
      </c>
      <c r="B39" s="3" t="s">
        <v>27</v>
      </c>
      <c r="C39" s="3" t="s">
        <v>11</v>
      </c>
      <c r="D39" s="3" t="s">
        <v>201</v>
      </c>
      <c r="E39" s="3">
        <v>3</v>
      </c>
      <c r="F39" s="3" t="s">
        <v>13</v>
      </c>
      <c r="G39" s="3" t="s">
        <v>13</v>
      </c>
      <c r="H39" s="4">
        <v>0.51700000000000002</v>
      </c>
      <c r="I39" s="4">
        <v>0.40720000000000001</v>
      </c>
      <c r="J39" t="s">
        <v>211</v>
      </c>
    </row>
    <row r="40" spans="1:10" x14ac:dyDescent="0.25">
      <c r="A40" s="3" t="s">
        <v>195</v>
      </c>
      <c r="B40" s="3" t="s">
        <v>33</v>
      </c>
      <c r="C40" s="3" t="s">
        <v>11</v>
      </c>
      <c r="D40" s="3" t="s">
        <v>202</v>
      </c>
      <c r="E40" s="3">
        <v>3</v>
      </c>
      <c r="F40" s="3" t="s">
        <v>13</v>
      </c>
      <c r="G40" s="3" t="s">
        <v>13</v>
      </c>
      <c r="H40" s="4">
        <v>0.40849999999999898</v>
      </c>
      <c r="I40" s="4">
        <v>0.2301</v>
      </c>
      <c r="J40" t="s">
        <v>211</v>
      </c>
    </row>
    <row r="41" spans="1:10" x14ac:dyDescent="0.25">
      <c r="A41" s="3" t="s">
        <v>195</v>
      </c>
      <c r="B41" s="3" t="s">
        <v>39</v>
      </c>
      <c r="C41" s="3" t="s">
        <v>11</v>
      </c>
      <c r="D41" s="3" t="s">
        <v>203</v>
      </c>
      <c r="E41" s="3">
        <v>3</v>
      </c>
      <c r="F41" s="3" t="s">
        <v>13</v>
      </c>
      <c r="G41" s="3" t="s">
        <v>13</v>
      </c>
      <c r="H41" s="4">
        <v>7.7700000000000005E-2</v>
      </c>
      <c r="I41" s="4">
        <v>0</v>
      </c>
      <c r="J41" t="s">
        <v>211</v>
      </c>
    </row>
    <row r="42" spans="1:10" x14ac:dyDescent="0.25">
      <c r="A42" s="3" t="s">
        <v>195</v>
      </c>
      <c r="B42" s="3" t="s">
        <v>45</v>
      </c>
      <c r="C42" s="3" t="s">
        <v>11</v>
      </c>
      <c r="D42" s="3" t="s">
        <v>204</v>
      </c>
      <c r="E42" s="3">
        <v>3</v>
      </c>
      <c r="F42" s="3" t="s">
        <v>13</v>
      </c>
      <c r="G42" s="3" t="s">
        <v>13</v>
      </c>
      <c r="H42" s="4">
        <v>0.4753</v>
      </c>
      <c r="I42" s="4">
        <v>0.43919999999999898</v>
      </c>
      <c r="J42" t="s">
        <v>211</v>
      </c>
    </row>
    <row r="43" spans="1:10" x14ac:dyDescent="0.25">
      <c r="A43" s="3" t="s">
        <v>195</v>
      </c>
      <c r="B43" s="3" t="s">
        <v>51</v>
      </c>
      <c r="C43" s="3" t="s">
        <v>11</v>
      </c>
      <c r="D43" s="3" t="s">
        <v>205</v>
      </c>
      <c r="E43" s="3">
        <v>3</v>
      </c>
      <c r="F43" s="3" t="s">
        <v>13</v>
      </c>
      <c r="G43" s="3" t="s">
        <v>13</v>
      </c>
      <c r="H43" s="4">
        <v>0.55269999999999897</v>
      </c>
      <c r="I43" s="4">
        <v>0.38579999999999998</v>
      </c>
      <c r="J43" t="s">
        <v>211</v>
      </c>
    </row>
    <row r="44" spans="1:10" x14ac:dyDescent="0.25">
      <c r="A44" s="3" t="s">
        <v>195</v>
      </c>
      <c r="B44" s="3" t="s">
        <v>57</v>
      </c>
      <c r="C44" s="3" t="s">
        <v>11</v>
      </c>
      <c r="D44" s="3" t="s">
        <v>206</v>
      </c>
      <c r="E44" s="3">
        <v>3</v>
      </c>
      <c r="F44" s="3" t="s">
        <v>13</v>
      </c>
      <c r="G44" s="3" t="s">
        <v>13</v>
      </c>
      <c r="H44" s="4">
        <v>0.35670000000000002</v>
      </c>
      <c r="I44" s="4">
        <v>0.33239999999999897</v>
      </c>
      <c r="J44" t="s">
        <v>211</v>
      </c>
    </row>
    <row r="45" spans="1:10" x14ac:dyDescent="0.25">
      <c r="A45" s="3" t="s">
        <v>195</v>
      </c>
      <c r="B45" s="3" t="s">
        <v>59</v>
      </c>
      <c r="C45" s="3" t="s">
        <v>11</v>
      </c>
      <c r="D45" s="3" t="s">
        <v>207</v>
      </c>
      <c r="E45" s="3">
        <v>3</v>
      </c>
      <c r="F45" s="3" t="s">
        <v>13</v>
      </c>
      <c r="G45" s="3" t="s">
        <v>13</v>
      </c>
      <c r="H45" s="4">
        <v>0.43759999999999999</v>
      </c>
      <c r="I45" s="4">
        <v>0.38440000000000002</v>
      </c>
      <c r="J45" t="s">
        <v>211</v>
      </c>
    </row>
    <row r="46" spans="1:10" x14ac:dyDescent="0.25">
      <c r="A46" s="3" t="s">
        <v>195</v>
      </c>
      <c r="B46" s="3" t="s">
        <v>61</v>
      </c>
      <c r="C46" s="3" t="s">
        <v>11</v>
      </c>
      <c r="D46" s="3" t="s">
        <v>208</v>
      </c>
      <c r="E46" s="3">
        <v>3</v>
      </c>
      <c r="F46" s="3" t="s">
        <v>13</v>
      </c>
      <c r="G46" s="3" t="s">
        <v>13</v>
      </c>
      <c r="H46" s="4">
        <v>0.2843</v>
      </c>
      <c r="I46" s="4">
        <v>0.2243</v>
      </c>
      <c r="J46" t="s">
        <v>211</v>
      </c>
    </row>
    <row r="47" spans="1:10" x14ac:dyDescent="0.25">
      <c r="A47" s="3" t="s">
        <v>195</v>
      </c>
      <c r="B47" s="3" t="s">
        <v>67</v>
      </c>
      <c r="C47" s="3" t="s">
        <v>11</v>
      </c>
      <c r="D47" s="3" t="s">
        <v>209</v>
      </c>
      <c r="E47" s="3">
        <v>3</v>
      </c>
      <c r="F47" s="3" t="s">
        <v>13</v>
      </c>
      <c r="G47" s="3" t="s">
        <v>13</v>
      </c>
      <c r="H47" s="4">
        <v>0.43219999999999997</v>
      </c>
      <c r="I47" s="4">
        <v>0.22919999999999899</v>
      </c>
      <c r="J47" t="s">
        <v>211</v>
      </c>
    </row>
    <row r="48" spans="1:10" x14ac:dyDescent="0.25">
      <c r="A48" s="3" t="s">
        <v>125</v>
      </c>
      <c r="B48" s="3" t="s">
        <v>74</v>
      </c>
      <c r="C48" s="3" t="s">
        <v>21</v>
      </c>
      <c r="D48" s="3" t="s">
        <v>136</v>
      </c>
      <c r="E48" s="3">
        <v>1</v>
      </c>
      <c r="F48" s="4">
        <v>0.60470000000000002</v>
      </c>
      <c r="G48" s="4">
        <v>0.22720000000000001</v>
      </c>
      <c r="H48" s="4">
        <v>0.25590000000000002</v>
      </c>
      <c r="I48" s="4">
        <v>0.32979999999999998</v>
      </c>
      <c r="J48" t="s">
        <v>212</v>
      </c>
    </row>
    <row r="49" spans="1:10" x14ac:dyDescent="0.25">
      <c r="A49" s="3" t="s">
        <v>125</v>
      </c>
      <c r="B49" s="3" t="s">
        <v>74</v>
      </c>
      <c r="C49" s="3" t="s">
        <v>21</v>
      </c>
      <c r="D49" s="3" t="s">
        <v>137</v>
      </c>
      <c r="E49" s="3">
        <v>2</v>
      </c>
      <c r="F49" s="3" t="s">
        <v>13</v>
      </c>
      <c r="G49" s="4">
        <v>0.34539999999999998</v>
      </c>
      <c r="H49" s="4">
        <v>0.27879999999999999</v>
      </c>
      <c r="I49" s="4">
        <v>0.4143</v>
      </c>
      <c r="J49" t="s">
        <v>212</v>
      </c>
    </row>
    <row r="50" spans="1:10" x14ac:dyDescent="0.25">
      <c r="A50" s="3" t="s">
        <v>125</v>
      </c>
      <c r="B50" s="3" t="s">
        <v>74</v>
      </c>
      <c r="C50" s="3" t="s">
        <v>11</v>
      </c>
      <c r="D50" s="3" t="s">
        <v>138</v>
      </c>
      <c r="E50" s="3">
        <v>1</v>
      </c>
      <c r="F50" s="3" t="s">
        <v>13</v>
      </c>
      <c r="G50" s="3" t="s">
        <v>13</v>
      </c>
      <c r="H50" s="4">
        <v>0.2205</v>
      </c>
      <c r="I50" s="4">
        <v>0.28299999999999897</v>
      </c>
      <c r="J50" t="s">
        <v>212</v>
      </c>
    </row>
    <row r="51" spans="1:10" x14ac:dyDescent="0.25">
      <c r="A51" s="3" t="s">
        <v>125</v>
      </c>
      <c r="B51" s="3" t="s">
        <v>74</v>
      </c>
      <c r="C51" s="3" t="s">
        <v>11</v>
      </c>
      <c r="D51" s="3" t="s">
        <v>139</v>
      </c>
      <c r="E51" s="3">
        <v>2</v>
      </c>
      <c r="F51" s="3" t="s">
        <v>13</v>
      </c>
      <c r="G51" s="3" t="s">
        <v>13</v>
      </c>
      <c r="H51" s="4">
        <v>0.33439999999999998</v>
      </c>
      <c r="I51" s="4">
        <v>0.38969999999999999</v>
      </c>
      <c r="J51" t="s">
        <v>212</v>
      </c>
    </row>
    <row r="52" spans="1:10" x14ac:dyDescent="0.25">
      <c r="A52" s="3" t="s">
        <v>125</v>
      </c>
      <c r="B52" s="3" t="s">
        <v>74</v>
      </c>
      <c r="C52" s="3" t="s">
        <v>11</v>
      </c>
      <c r="D52" s="3" t="s">
        <v>140</v>
      </c>
      <c r="E52" s="3">
        <v>3</v>
      </c>
      <c r="F52" s="3" t="s">
        <v>13</v>
      </c>
      <c r="G52" s="3" t="s">
        <v>13</v>
      </c>
      <c r="H52" s="4">
        <v>0.54479999999999995</v>
      </c>
      <c r="I52" s="4">
        <v>0.5706</v>
      </c>
      <c r="J52" t="s">
        <v>212</v>
      </c>
    </row>
    <row r="53" spans="1:10" x14ac:dyDescent="0.25">
      <c r="A53" s="3" t="s">
        <v>125</v>
      </c>
      <c r="B53" s="3" t="s">
        <v>80</v>
      </c>
      <c r="C53" s="3" t="s">
        <v>21</v>
      </c>
      <c r="D53" s="3" t="s">
        <v>126</v>
      </c>
      <c r="E53" s="3">
        <v>1</v>
      </c>
      <c r="F53" s="4">
        <v>0.48399999999999999</v>
      </c>
      <c r="G53" s="4">
        <v>0.1041</v>
      </c>
      <c r="H53" s="4">
        <v>0.1305</v>
      </c>
      <c r="I53" s="4">
        <v>0.50319999999999998</v>
      </c>
      <c r="J53" t="s">
        <v>212</v>
      </c>
    </row>
    <row r="54" spans="1:10" x14ac:dyDescent="0.25">
      <c r="A54" s="3" t="s">
        <v>125</v>
      </c>
      <c r="B54" s="3" t="s">
        <v>80</v>
      </c>
      <c r="C54" s="3" t="s">
        <v>21</v>
      </c>
      <c r="D54" s="3" t="s">
        <v>127</v>
      </c>
      <c r="E54" s="3">
        <v>2</v>
      </c>
      <c r="F54" s="3" t="s">
        <v>13</v>
      </c>
      <c r="G54" s="4">
        <v>0.10730000000000001</v>
      </c>
      <c r="H54" s="4">
        <v>0.129</v>
      </c>
      <c r="I54" s="4">
        <v>0.51880000000000004</v>
      </c>
      <c r="J54" t="s">
        <v>212</v>
      </c>
    </row>
    <row r="55" spans="1:10" x14ac:dyDescent="0.25">
      <c r="A55" s="3" t="s">
        <v>125</v>
      </c>
      <c r="B55" s="3" t="s">
        <v>80</v>
      </c>
      <c r="C55" s="3" t="s">
        <v>11</v>
      </c>
      <c r="D55" s="3" t="s">
        <v>128</v>
      </c>
      <c r="E55" s="3">
        <v>1</v>
      </c>
      <c r="F55" s="3" t="s">
        <v>13</v>
      </c>
      <c r="G55" s="3" t="s">
        <v>13</v>
      </c>
      <c r="H55" s="4">
        <v>0.1363</v>
      </c>
      <c r="I55" s="4">
        <v>0.47170000000000001</v>
      </c>
      <c r="J55" t="s">
        <v>212</v>
      </c>
    </row>
    <row r="56" spans="1:10" x14ac:dyDescent="0.25">
      <c r="A56" s="3" t="s">
        <v>125</v>
      </c>
      <c r="B56" s="3" t="s">
        <v>80</v>
      </c>
      <c r="C56" s="3" t="s">
        <v>11</v>
      </c>
      <c r="D56" s="3" t="s">
        <v>129</v>
      </c>
      <c r="E56" s="3">
        <v>2</v>
      </c>
      <c r="F56" s="3" t="s">
        <v>13</v>
      </c>
      <c r="G56" s="3" t="s">
        <v>13</v>
      </c>
      <c r="H56" s="4">
        <v>0.21809999999999999</v>
      </c>
      <c r="I56" s="4">
        <v>0.48499999999999999</v>
      </c>
      <c r="J56" t="s">
        <v>212</v>
      </c>
    </row>
    <row r="57" spans="1:10" x14ac:dyDescent="0.25">
      <c r="A57" s="3" t="s">
        <v>125</v>
      </c>
      <c r="B57" s="3" t="s">
        <v>80</v>
      </c>
      <c r="C57" s="3" t="s">
        <v>11</v>
      </c>
      <c r="D57" s="3" t="s">
        <v>130</v>
      </c>
      <c r="E57" s="3">
        <v>3</v>
      </c>
      <c r="F57" s="3" t="s">
        <v>13</v>
      </c>
      <c r="G57" s="3" t="s">
        <v>13</v>
      </c>
      <c r="H57" s="4">
        <v>0.45340000000000003</v>
      </c>
      <c r="I57" s="4">
        <v>0.47070000000000001</v>
      </c>
      <c r="J57" t="s">
        <v>212</v>
      </c>
    </row>
    <row r="58" spans="1:10" x14ac:dyDescent="0.25">
      <c r="A58" s="3" t="s">
        <v>125</v>
      </c>
      <c r="B58" s="3" t="s">
        <v>86</v>
      </c>
      <c r="C58" s="3" t="s">
        <v>21</v>
      </c>
      <c r="D58" s="3" t="s">
        <v>131</v>
      </c>
      <c r="E58" s="3">
        <v>1</v>
      </c>
      <c r="F58" s="4">
        <v>0.64629999999999999</v>
      </c>
      <c r="G58" s="4">
        <v>0.31059999999999999</v>
      </c>
      <c r="H58" s="4">
        <v>0.31509999999999899</v>
      </c>
      <c r="I58" s="4">
        <v>0.45789999999999997</v>
      </c>
      <c r="J58" t="s">
        <v>212</v>
      </c>
    </row>
    <row r="59" spans="1:10" x14ac:dyDescent="0.25">
      <c r="A59" s="3" t="s">
        <v>125</v>
      </c>
      <c r="B59" s="3" t="s">
        <v>86</v>
      </c>
      <c r="C59" s="3" t="s">
        <v>21</v>
      </c>
      <c r="D59" s="3" t="s">
        <v>132</v>
      </c>
      <c r="E59" s="3">
        <v>2</v>
      </c>
      <c r="F59" s="3" t="s">
        <v>13</v>
      </c>
      <c r="G59" s="4">
        <v>0.31540000000000001</v>
      </c>
      <c r="H59" s="4">
        <v>0.33410000000000001</v>
      </c>
      <c r="I59" s="4">
        <v>0.58169999999999999</v>
      </c>
      <c r="J59" t="s">
        <v>212</v>
      </c>
    </row>
    <row r="60" spans="1:10" x14ac:dyDescent="0.25">
      <c r="A60" s="3" t="s">
        <v>125</v>
      </c>
      <c r="B60" s="3" t="s">
        <v>86</v>
      </c>
      <c r="C60" s="3" t="s">
        <v>11</v>
      </c>
      <c r="D60" s="3" t="s">
        <v>133</v>
      </c>
      <c r="E60" s="3">
        <v>1</v>
      </c>
      <c r="F60" s="3" t="s">
        <v>13</v>
      </c>
      <c r="G60" s="3" t="s">
        <v>13</v>
      </c>
      <c r="H60" s="4">
        <v>0.26240000000000002</v>
      </c>
      <c r="I60" s="4">
        <v>0.43059999999999898</v>
      </c>
      <c r="J60" t="s">
        <v>212</v>
      </c>
    </row>
    <row r="61" spans="1:10" x14ac:dyDescent="0.25">
      <c r="A61" s="3" t="s">
        <v>125</v>
      </c>
      <c r="B61" s="3" t="s">
        <v>86</v>
      </c>
      <c r="C61" s="3" t="s">
        <v>11</v>
      </c>
      <c r="D61" s="3" t="s">
        <v>134</v>
      </c>
      <c r="E61" s="3">
        <v>2</v>
      </c>
      <c r="F61" s="3" t="s">
        <v>13</v>
      </c>
      <c r="G61" s="3" t="s">
        <v>13</v>
      </c>
      <c r="H61" s="4">
        <v>0.3498</v>
      </c>
      <c r="I61" s="4">
        <v>0.54120000000000001</v>
      </c>
      <c r="J61" t="s">
        <v>212</v>
      </c>
    </row>
    <row r="62" spans="1:10" x14ac:dyDescent="0.25">
      <c r="A62" s="3" t="s">
        <v>125</v>
      </c>
      <c r="B62" s="3" t="s">
        <v>86</v>
      </c>
      <c r="C62" s="3" t="s">
        <v>11</v>
      </c>
      <c r="D62" s="3" t="s">
        <v>135</v>
      </c>
      <c r="E62" s="3">
        <v>3</v>
      </c>
      <c r="F62" s="3" t="s">
        <v>13</v>
      </c>
      <c r="G62" s="3" t="s">
        <v>13</v>
      </c>
      <c r="H62" s="4">
        <v>0.55769999999999897</v>
      </c>
      <c r="I62" s="4">
        <v>0.58750000000000002</v>
      </c>
      <c r="J62" t="s">
        <v>212</v>
      </c>
    </row>
  </sheetData>
  <autoFilter ref="A1:I47" xr:uid="{C34F1D39-1653-4C2C-BE88-1A1365B7EA4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Formatted</vt:lpstr>
      <vt:lpstr>Calculation</vt:lpstr>
      <vt:lpstr>Python Pivot</vt:lpstr>
      <vt:lpstr>Python</vt:lpstr>
      <vt:lpstr>Java Pivot</vt:lpstr>
      <vt:lpstr>Java</vt:lpstr>
      <vt:lpstr>JavaScript Pivot</vt:lpstr>
      <vt:lpstr>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瑞安 刘</cp:lastModifiedBy>
  <dcterms:created xsi:type="dcterms:W3CDTF">2025-10-31T06:19:58Z</dcterms:created>
  <dcterms:modified xsi:type="dcterms:W3CDTF">2025-11-01T07:19:48Z</dcterms:modified>
</cp:coreProperties>
</file>