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ProjectEvalPlus\experiments\official-result\"/>
    </mc:Choice>
  </mc:AlternateContent>
  <xr:revisionPtr revIDLastSave="0" documentId="13_ncr:1_{FBF37052-2CFC-4435-8437-605A82F14BA9}" xr6:coauthVersionLast="47" xr6:coauthVersionMax="47" xr10:uidLastSave="{00000000-0000-0000-0000-000000000000}"/>
  <bookViews>
    <workbookView xWindow="-108" yWindow="-108" windowWidth="30936" windowHeight="16776" xr2:uid="{450DCAC9-B5A8-46AA-8F7E-B91616A01557}"/>
  </bookViews>
  <sheets>
    <sheet name="Formatted" sheetId="3" r:id="rId1"/>
    <sheet name="Calculation" sheetId="6" r:id="rId2"/>
    <sheet name="Python Pivot" sheetId="5" r:id="rId3"/>
    <sheet name="Python" sheetId="4" r:id="rId4"/>
    <sheet name="Java Pivot" sheetId="10" r:id="rId5"/>
    <sheet name="Java" sheetId="7" r:id="rId6"/>
    <sheet name="JavaScript Pivot" sheetId="2" r:id="rId7"/>
    <sheet name="JavaScript" sheetId="1" r:id="rId8"/>
  </sheets>
  <calcPr calcId="181029"/>
  <pivotCaches>
    <pivotCache cacheId="0" r:id="rId9"/>
    <pivotCache cacheId="1" r:id="rId10"/>
    <pivotCache cacheId="42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6" l="1"/>
  <c r="S21" i="6"/>
  <c r="R21" i="6"/>
  <c r="Q21" i="6"/>
  <c r="P21" i="6"/>
  <c r="L21" i="6"/>
  <c r="K21" i="6"/>
  <c r="J21" i="6"/>
  <c r="I21" i="6"/>
  <c r="C21" i="6"/>
  <c r="D21" i="6"/>
  <c r="E21" i="6"/>
  <c r="B21" i="6"/>
  <c r="L27" i="6"/>
  <c r="T21" i="6"/>
  <c r="M21" i="6"/>
  <c r="F21" i="6"/>
  <c r="F44" i="6"/>
  <c r="F24" i="3" s="1"/>
  <c r="L16" i="3"/>
  <c r="K8" i="3"/>
  <c r="L8" i="3"/>
  <c r="M8" i="3"/>
  <c r="N8" i="3"/>
  <c r="O8" i="3"/>
  <c r="P8" i="3"/>
  <c r="Q8" i="3"/>
  <c r="R8" i="3"/>
  <c r="K9" i="3"/>
  <c r="L9" i="3"/>
  <c r="M9" i="3"/>
  <c r="N9" i="3"/>
  <c r="O9" i="3"/>
  <c r="P9" i="3"/>
  <c r="Q9" i="3"/>
  <c r="R9" i="3"/>
  <c r="K10" i="3"/>
  <c r="L10" i="3"/>
  <c r="M10" i="3"/>
  <c r="N10" i="3"/>
  <c r="O10" i="3"/>
  <c r="P10" i="3"/>
  <c r="Q10" i="3"/>
  <c r="R10" i="3"/>
  <c r="K11" i="3"/>
  <c r="L11" i="3"/>
  <c r="M11" i="3"/>
  <c r="N11" i="3"/>
  <c r="O11" i="3"/>
  <c r="P11" i="3"/>
  <c r="Q11" i="3"/>
  <c r="R11" i="3"/>
  <c r="K12" i="3"/>
  <c r="L12" i="3"/>
  <c r="M12" i="3"/>
  <c r="N12" i="3"/>
  <c r="O12" i="3"/>
  <c r="P12" i="3"/>
  <c r="Q12" i="3"/>
  <c r="R12" i="3"/>
  <c r="K13" i="3"/>
  <c r="L13" i="3"/>
  <c r="M13" i="3"/>
  <c r="N13" i="3"/>
  <c r="O13" i="3"/>
  <c r="P13" i="3"/>
  <c r="Q13" i="3"/>
  <c r="R13" i="3"/>
  <c r="K14" i="3"/>
  <c r="L14" i="3"/>
  <c r="M14" i="3"/>
  <c r="N14" i="3"/>
  <c r="O14" i="3"/>
  <c r="P14" i="3"/>
  <c r="Q14" i="3"/>
  <c r="R14" i="3"/>
  <c r="K15" i="3"/>
  <c r="L15" i="3"/>
  <c r="M15" i="3"/>
  <c r="N15" i="3"/>
  <c r="O15" i="3"/>
  <c r="P15" i="3"/>
  <c r="Q15" i="3"/>
  <c r="R15" i="3"/>
  <c r="K16" i="3"/>
  <c r="M16" i="3"/>
  <c r="N16" i="3"/>
  <c r="O16" i="3"/>
  <c r="P16" i="3"/>
  <c r="Q16" i="3"/>
  <c r="R16" i="3"/>
  <c r="L4" i="3"/>
  <c r="M4" i="3"/>
  <c r="N4" i="3"/>
  <c r="O4" i="3"/>
  <c r="P4" i="3"/>
  <c r="Q4" i="3"/>
  <c r="R4" i="3"/>
  <c r="L5" i="3"/>
  <c r="M5" i="3"/>
  <c r="N5" i="3"/>
  <c r="O5" i="3"/>
  <c r="P5" i="3"/>
  <c r="Q5" i="3"/>
  <c r="R5" i="3"/>
  <c r="L6" i="3"/>
  <c r="M6" i="3"/>
  <c r="N6" i="3"/>
  <c r="O6" i="3"/>
  <c r="P6" i="3"/>
  <c r="Q6" i="3"/>
  <c r="R6" i="3"/>
  <c r="B24" i="3"/>
  <c r="C24" i="3"/>
  <c r="D24" i="3"/>
  <c r="E24" i="3"/>
  <c r="G24" i="3"/>
  <c r="C44" i="6"/>
  <c r="D44" i="6"/>
  <c r="E44" i="6"/>
  <c r="B44" i="6"/>
  <c r="F22" i="3"/>
  <c r="F23" i="3"/>
  <c r="F17" i="3"/>
  <c r="F18" i="3"/>
  <c r="F19" i="3"/>
  <c r="F20" i="3"/>
  <c r="F21" i="3"/>
  <c r="B14" i="3"/>
  <c r="C14" i="3"/>
  <c r="D14" i="3"/>
  <c r="E14" i="3"/>
  <c r="F14" i="3"/>
  <c r="G14" i="3"/>
  <c r="B15" i="3"/>
  <c r="C15" i="3"/>
  <c r="D15" i="3"/>
  <c r="E15" i="3"/>
  <c r="F15" i="3"/>
  <c r="G15" i="3"/>
  <c r="B11" i="3"/>
  <c r="C11" i="3"/>
  <c r="D11" i="3"/>
  <c r="E11" i="3"/>
  <c r="F11" i="3"/>
  <c r="G11" i="3"/>
  <c r="B12" i="3"/>
  <c r="C12" i="3"/>
  <c r="D12" i="3"/>
  <c r="E12" i="3"/>
  <c r="F12" i="3"/>
  <c r="G12" i="3"/>
  <c r="B13" i="3"/>
  <c r="C13" i="3"/>
  <c r="D13" i="3"/>
  <c r="E13" i="3"/>
  <c r="F13" i="3"/>
  <c r="G13" i="3"/>
  <c r="B8" i="3"/>
  <c r="C8" i="3"/>
  <c r="D8" i="3"/>
  <c r="E8" i="3"/>
  <c r="F8" i="3"/>
  <c r="G8" i="3"/>
  <c r="B9" i="3"/>
  <c r="C9" i="3"/>
  <c r="D9" i="3"/>
  <c r="E9" i="3"/>
  <c r="F9" i="3"/>
  <c r="G9" i="3"/>
  <c r="B10" i="3"/>
  <c r="C10" i="3"/>
  <c r="D10" i="3"/>
  <c r="E10" i="3"/>
  <c r="F10" i="3"/>
  <c r="G10" i="3"/>
  <c r="B39" i="6"/>
  <c r="B4" i="3"/>
  <c r="C4" i="3"/>
  <c r="D4" i="3"/>
  <c r="E4" i="3"/>
  <c r="F4" i="3"/>
  <c r="G4" i="3"/>
  <c r="B5" i="3"/>
  <c r="C5" i="3"/>
  <c r="D5" i="3"/>
  <c r="E5" i="3"/>
  <c r="F5" i="3"/>
  <c r="G5" i="3"/>
  <c r="B6" i="3"/>
  <c r="C6" i="3"/>
  <c r="D6" i="3"/>
  <c r="E6" i="3"/>
  <c r="F6" i="3"/>
  <c r="G6" i="3"/>
  <c r="R38" i="6"/>
  <c r="M38" i="6"/>
  <c r="N38" i="6"/>
  <c r="O38" i="6"/>
  <c r="P38" i="6"/>
  <c r="Q38" i="6"/>
  <c r="L38" i="6"/>
  <c r="R28" i="6"/>
  <c r="R29" i="6"/>
  <c r="R30" i="6"/>
  <c r="R31" i="6"/>
  <c r="R32" i="6"/>
  <c r="R33" i="6"/>
  <c r="R34" i="6"/>
  <c r="R35" i="6"/>
  <c r="R36" i="6"/>
  <c r="R37" i="6"/>
  <c r="R27" i="6"/>
  <c r="Q36" i="6"/>
  <c r="Q37" i="6"/>
  <c r="P36" i="6"/>
  <c r="P37" i="6"/>
  <c r="O36" i="6"/>
  <c r="O37" i="6"/>
  <c r="Q30" i="6"/>
  <c r="Q31" i="6"/>
  <c r="Q32" i="6"/>
  <c r="Q33" i="6"/>
  <c r="Q34" i="6"/>
  <c r="Q35" i="6"/>
  <c r="P30" i="6"/>
  <c r="P31" i="6"/>
  <c r="P32" i="6"/>
  <c r="P33" i="6"/>
  <c r="P34" i="6"/>
  <c r="P35" i="6"/>
  <c r="O30" i="6"/>
  <c r="O31" i="6"/>
  <c r="O32" i="6"/>
  <c r="O33" i="6"/>
  <c r="O34" i="6"/>
  <c r="O35" i="6"/>
  <c r="Q27" i="6"/>
  <c r="Q28" i="6"/>
  <c r="Q29" i="6"/>
  <c r="P27" i="6"/>
  <c r="P28" i="6"/>
  <c r="P29" i="6"/>
  <c r="O27" i="6"/>
  <c r="O28" i="6"/>
  <c r="O29" i="6"/>
  <c r="N36" i="6"/>
  <c r="N37" i="6"/>
  <c r="N30" i="6"/>
  <c r="N31" i="6"/>
  <c r="N32" i="6"/>
  <c r="N33" i="6"/>
  <c r="N34" i="6"/>
  <c r="N35" i="6"/>
  <c r="M36" i="6"/>
  <c r="M37" i="6"/>
  <c r="M30" i="6"/>
  <c r="M31" i="6"/>
  <c r="M32" i="6"/>
  <c r="M33" i="6"/>
  <c r="M34" i="6"/>
  <c r="M35" i="6"/>
  <c r="N27" i="6"/>
  <c r="N28" i="6"/>
  <c r="N29" i="6"/>
  <c r="M27" i="6"/>
  <c r="M28" i="6"/>
  <c r="M29" i="6"/>
  <c r="L36" i="6"/>
  <c r="L37" i="6"/>
  <c r="L30" i="6"/>
  <c r="L31" i="6"/>
  <c r="L32" i="6"/>
  <c r="L33" i="6"/>
  <c r="L34" i="6"/>
  <c r="L35" i="6"/>
  <c r="L28" i="6"/>
  <c r="L29" i="6"/>
  <c r="B31" i="6"/>
  <c r="C31" i="6"/>
  <c r="D31" i="6"/>
  <c r="E31" i="6"/>
  <c r="F31" i="6"/>
  <c r="B32" i="6"/>
  <c r="C32" i="6"/>
  <c r="D32" i="6"/>
  <c r="E32" i="6"/>
  <c r="F32" i="6"/>
  <c r="B33" i="6"/>
  <c r="C39" i="6"/>
  <c r="D39" i="6"/>
  <c r="F42" i="6"/>
  <c r="F26" i="6"/>
  <c r="T2" i="6"/>
  <c r="M7" i="6"/>
  <c r="L7" i="6"/>
  <c r="K7" i="6"/>
  <c r="J7" i="6"/>
  <c r="I7" i="6"/>
  <c r="H7" i="6"/>
  <c r="H4" i="6"/>
  <c r="I4" i="6"/>
  <c r="J4" i="6"/>
  <c r="K4" i="6"/>
  <c r="L4" i="6"/>
  <c r="M4" i="6"/>
  <c r="H5" i="6"/>
  <c r="I5" i="6"/>
  <c r="J5" i="6"/>
  <c r="K5" i="6"/>
  <c r="L5" i="6"/>
  <c r="M5" i="6"/>
  <c r="H6" i="6"/>
  <c r="I6" i="6"/>
  <c r="B29" i="6" s="1"/>
  <c r="J6" i="6"/>
  <c r="K6" i="6"/>
  <c r="L6" i="6"/>
  <c r="M6" i="6"/>
  <c r="H9" i="6"/>
  <c r="I9" i="6"/>
  <c r="J9" i="6"/>
  <c r="K9" i="6"/>
  <c r="L9" i="6"/>
  <c r="M9" i="6"/>
  <c r="H10" i="6"/>
  <c r="I10" i="6"/>
  <c r="J10" i="6"/>
  <c r="K10" i="6"/>
  <c r="L10" i="6"/>
  <c r="M10" i="6"/>
  <c r="H11" i="6"/>
  <c r="I11" i="6"/>
  <c r="J11" i="6"/>
  <c r="K11" i="6"/>
  <c r="L11" i="6"/>
  <c r="M11" i="6"/>
  <c r="H12" i="6"/>
  <c r="I12" i="6"/>
  <c r="J12" i="6"/>
  <c r="K12" i="6"/>
  <c r="L12" i="6"/>
  <c r="M12" i="6"/>
  <c r="H13" i="6"/>
  <c r="I13" i="6"/>
  <c r="J13" i="6"/>
  <c r="K13" i="6"/>
  <c r="L13" i="6"/>
  <c r="M13" i="6"/>
  <c r="H14" i="6"/>
  <c r="I14" i="6"/>
  <c r="J14" i="6"/>
  <c r="C37" i="6" s="1"/>
  <c r="K14" i="6"/>
  <c r="D37" i="6" s="1"/>
  <c r="L14" i="6"/>
  <c r="E37" i="6" s="1"/>
  <c r="M14" i="6"/>
  <c r="F37" i="6" s="1"/>
  <c r="H15" i="6"/>
  <c r="I15" i="6"/>
  <c r="B38" i="6" s="1"/>
  <c r="J15" i="6"/>
  <c r="C38" i="6" s="1"/>
  <c r="K15" i="6"/>
  <c r="D38" i="6" s="1"/>
  <c r="L15" i="6"/>
  <c r="E38" i="6" s="1"/>
  <c r="M15" i="6"/>
  <c r="F38" i="6" s="1"/>
  <c r="H16" i="6"/>
  <c r="I16" i="6"/>
  <c r="J16" i="6"/>
  <c r="K16" i="6"/>
  <c r="L16" i="6"/>
  <c r="M16" i="6"/>
  <c r="H17" i="6"/>
  <c r="I17" i="6"/>
  <c r="J17" i="6"/>
  <c r="K17" i="6"/>
  <c r="L17" i="6"/>
  <c r="M17" i="6"/>
  <c r="H18" i="6"/>
  <c r="I18" i="6"/>
  <c r="J18" i="6"/>
  <c r="K18" i="6"/>
  <c r="L18" i="6"/>
  <c r="M18" i="6"/>
  <c r="H19" i="6"/>
  <c r="I19" i="6"/>
  <c r="J19" i="6"/>
  <c r="K19" i="6"/>
  <c r="L19" i="6"/>
  <c r="E42" i="6" s="1"/>
  <c r="M19" i="6"/>
  <c r="H20" i="6"/>
  <c r="I20" i="6"/>
  <c r="B43" i="6" s="1"/>
  <c r="J20" i="6"/>
  <c r="C43" i="6" s="1"/>
  <c r="K20" i="6"/>
  <c r="D43" i="6" s="1"/>
  <c r="L20" i="6"/>
  <c r="E43" i="6" s="1"/>
  <c r="M20" i="6"/>
  <c r="I3" i="6"/>
  <c r="B26" i="6" s="1"/>
  <c r="J3" i="6"/>
  <c r="C26" i="6" s="1"/>
  <c r="K3" i="6"/>
  <c r="D26" i="6" s="1"/>
  <c r="L3" i="6"/>
  <c r="E26" i="6" s="1"/>
  <c r="M3" i="6"/>
  <c r="H3" i="6"/>
  <c r="A3" i="6"/>
  <c r="B3" i="6"/>
  <c r="C3" i="6"/>
  <c r="D3" i="6"/>
  <c r="E3" i="6"/>
  <c r="F3" i="6"/>
  <c r="A5" i="6"/>
  <c r="B5" i="6"/>
  <c r="B28" i="6" s="1"/>
  <c r="C5" i="6"/>
  <c r="D5" i="6"/>
  <c r="D28" i="6" s="1"/>
  <c r="E5" i="6"/>
  <c r="E28" i="6" s="1"/>
  <c r="F5" i="6"/>
  <c r="A4" i="6"/>
  <c r="B4" i="6"/>
  <c r="B27" i="6" s="1"/>
  <c r="C4" i="6"/>
  <c r="C27" i="6" s="1"/>
  <c r="D4" i="6"/>
  <c r="D27" i="6" s="1"/>
  <c r="E4" i="6"/>
  <c r="E27" i="6" s="1"/>
  <c r="F4" i="6"/>
  <c r="F27" i="6" s="1"/>
  <c r="A6" i="6"/>
  <c r="B6" i="6"/>
  <c r="C6" i="6"/>
  <c r="C29" i="6" s="1"/>
  <c r="D6" i="6"/>
  <c r="D29" i="6" s="1"/>
  <c r="E6" i="6"/>
  <c r="E29" i="6" s="1"/>
  <c r="F6" i="6"/>
  <c r="F29" i="6" s="1"/>
  <c r="A7" i="6"/>
  <c r="B7" i="6"/>
  <c r="B30" i="6" s="1"/>
  <c r="C7" i="6"/>
  <c r="C30" i="6" s="1"/>
  <c r="D7" i="6"/>
  <c r="D30" i="6" s="1"/>
  <c r="E7" i="6"/>
  <c r="E30" i="6" s="1"/>
  <c r="F7" i="6"/>
  <c r="F30" i="6" s="1"/>
  <c r="A9" i="6"/>
  <c r="B9" i="6"/>
  <c r="C9" i="6"/>
  <c r="D9" i="6"/>
  <c r="E9" i="6"/>
  <c r="F9" i="6"/>
  <c r="A10" i="6"/>
  <c r="B10" i="6"/>
  <c r="C10" i="6"/>
  <c r="C33" i="6" s="1"/>
  <c r="D10" i="6"/>
  <c r="D33" i="6" s="1"/>
  <c r="E10" i="6"/>
  <c r="E33" i="6" s="1"/>
  <c r="F10" i="6"/>
  <c r="F33" i="6" s="1"/>
  <c r="A11" i="6"/>
  <c r="B11" i="6"/>
  <c r="C11" i="6"/>
  <c r="C34" i="6" s="1"/>
  <c r="D11" i="6"/>
  <c r="D34" i="6" s="1"/>
  <c r="E11" i="6"/>
  <c r="E34" i="6" s="1"/>
  <c r="F11" i="6"/>
  <c r="F34" i="6" s="1"/>
  <c r="A12" i="6"/>
  <c r="B12" i="6"/>
  <c r="B35" i="6" s="1"/>
  <c r="C12" i="6"/>
  <c r="C35" i="6" s="1"/>
  <c r="D12" i="6"/>
  <c r="E12" i="6"/>
  <c r="E35" i="6" s="1"/>
  <c r="F12" i="6"/>
  <c r="F35" i="6" s="1"/>
  <c r="A13" i="6"/>
  <c r="B13" i="6"/>
  <c r="B36" i="6" s="1"/>
  <c r="C13" i="6"/>
  <c r="D13" i="6"/>
  <c r="D36" i="6" s="1"/>
  <c r="E13" i="6"/>
  <c r="E36" i="6" s="1"/>
  <c r="F13" i="6"/>
  <c r="F36" i="6" s="1"/>
  <c r="A14" i="6"/>
  <c r="B14" i="6"/>
  <c r="B37" i="6" s="1"/>
  <c r="C14" i="6"/>
  <c r="D14" i="6"/>
  <c r="E14" i="6"/>
  <c r="F14" i="6"/>
  <c r="A15" i="6"/>
  <c r="B15" i="6"/>
  <c r="C15" i="6"/>
  <c r="D15" i="6"/>
  <c r="E15" i="6"/>
  <c r="F15" i="6"/>
  <c r="A16" i="6"/>
  <c r="B16" i="6"/>
  <c r="C16" i="6"/>
  <c r="D16" i="6"/>
  <c r="E16" i="6"/>
  <c r="E39" i="6" s="1"/>
  <c r="F16" i="6"/>
  <c r="F39" i="6" s="1"/>
  <c r="A17" i="6"/>
  <c r="B17" i="6"/>
  <c r="B40" i="6" s="1"/>
  <c r="C17" i="6"/>
  <c r="C40" i="6" s="1"/>
  <c r="D17" i="6"/>
  <c r="D40" i="6" s="1"/>
  <c r="E17" i="6"/>
  <c r="E40" i="6" s="1"/>
  <c r="F17" i="6"/>
  <c r="F40" i="6" s="1"/>
  <c r="A18" i="6"/>
  <c r="B18" i="6"/>
  <c r="B41" i="6" s="1"/>
  <c r="C18" i="6"/>
  <c r="C41" i="6" s="1"/>
  <c r="D18" i="6"/>
  <c r="D41" i="6" s="1"/>
  <c r="E18" i="6"/>
  <c r="E41" i="6" s="1"/>
  <c r="F18" i="6"/>
  <c r="F41" i="6" s="1"/>
  <c r="A19" i="6"/>
  <c r="B19" i="6"/>
  <c r="B42" i="6" s="1"/>
  <c r="C19" i="6"/>
  <c r="C42" i="6" s="1"/>
  <c r="D19" i="6"/>
  <c r="D42" i="6" s="1"/>
  <c r="E19" i="6"/>
  <c r="F19" i="6"/>
  <c r="A20" i="6"/>
  <c r="B20" i="6"/>
  <c r="C20" i="6"/>
  <c r="D20" i="6"/>
  <c r="E20" i="6"/>
  <c r="F20" i="6"/>
  <c r="F43" i="6" s="1"/>
  <c r="O3" i="6"/>
  <c r="P3" i="6"/>
  <c r="Q3" i="6"/>
  <c r="R3" i="6"/>
  <c r="S3" i="6"/>
  <c r="T3" i="6"/>
  <c r="O4" i="6"/>
  <c r="P4" i="6"/>
  <c r="Q4" i="6"/>
  <c r="R4" i="6"/>
  <c r="S4" i="6"/>
  <c r="T4" i="6"/>
  <c r="O5" i="6"/>
  <c r="P5" i="6"/>
  <c r="Q5" i="6"/>
  <c r="C28" i="6" s="1"/>
  <c r="R5" i="6"/>
  <c r="S5" i="6"/>
  <c r="T5" i="6"/>
  <c r="F28" i="6" s="1"/>
  <c r="O6" i="6"/>
  <c r="P6" i="6"/>
  <c r="Q6" i="6"/>
  <c r="R6" i="6"/>
  <c r="S6" i="6"/>
  <c r="T6" i="6"/>
  <c r="O7" i="6"/>
  <c r="P7" i="6"/>
  <c r="Q7" i="6"/>
  <c r="R7" i="6"/>
  <c r="S7" i="6"/>
  <c r="T7" i="6"/>
  <c r="O9" i="6"/>
  <c r="P9" i="6"/>
  <c r="Q9" i="6"/>
  <c r="R9" i="6"/>
  <c r="S9" i="6"/>
  <c r="T9" i="6"/>
  <c r="O10" i="6"/>
  <c r="P10" i="6"/>
  <c r="Q10" i="6"/>
  <c r="R10" i="6"/>
  <c r="S10" i="6"/>
  <c r="T10" i="6"/>
  <c r="O11" i="6"/>
  <c r="P11" i="6"/>
  <c r="Q11" i="6"/>
  <c r="R11" i="6"/>
  <c r="S11" i="6"/>
  <c r="T11" i="6"/>
  <c r="O12" i="6"/>
  <c r="P12" i="6"/>
  <c r="Q12" i="6"/>
  <c r="R12" i="6"/>
  <c r="D35" i="6" s="1"/>
  <c r="S12" i="6"/>
  <c r="T12" i="6"/>
  <c r="O13" i="6"/>
  <c r="P13" i="6"/>
  <c r="Q13" i="6"/>
  <c r="R13" i="6"/>
  <c r="S13" i="6"/>
  <c r="T13" i="6"/>
  <c r="O14" i="6"/>
  <c r="P14" i="6"/>
  <c r="Q14" i="6"/>
  <c r="R14" i="6"/>
  <c r="S14" i="6"/>
  <c r="T14" i="6"/>
  <c r="O15" i="6"/>
  <c r="P15" i="6"/>
  <c r="Q15" i="6"/>
  <c r="R15" i="6"/>
  <c r="S15" i="6"/>
  <c r="T15" i="6"/>
  <c r="O16" i="6"/>
  <c r="P16" i="6"/>
  <c r="Q16" i="6"/>
  <c r="R16" i="6"/>
  <c r="S16" i="6"/>
  <c r="T16" i="6"/>
  <c r="O17" i="6"/>
  <c r="P17" i="6"/>
  <c r="Q17" i="6"/>
  <c r="R17" i="6"/>
  <c r="S17" i="6"/>
  <c r="T17" i="6"/>
  <c r="O18" i="6"/>
  <c r="P18" i="6"/>
  <c r="Q18" i="6"/>
  <c r="R18" i="6"/>
  <c r="S18" i="6"/>
  <c r="T18" i="6"/>
  <c r="O19" i="6"/>
  <c r="P19" i="6"/>
  <c r="Q19" i="6"/>
  <c r="R19" i="6"/>
  <c r="S19" i="6"/>
  <c r="T19" i="6"/>
  <c r="O20" i="6"/>
  <c r="P20" i="6"/>
  <c r="Q20" i="6"/>
  <c r="R20" i="6"/>
  <c r="S20" i="6"/>
  <c r="T20" i="6"/>
  <c r="O2" i="6"/>
  <c r="P2" i="6"/>
  <c r="Q2" i="6"/>
  <c r="R2" i="6"/>
  <c r="S2" i="6"/>
  <c r="G44" i="6" l="1"/>
  <c r="C36" i="6"/>
  <c r="G31" i="6"/>
  <c r="G32" i="6" l="1"/>
  <c r="G36" i="6"/>
  <c r="G39" i="6"/>
  <c r="G28" i="6"/>
  <c r="G37" i="6"/>
  <c r="G40" i="6"/>
  <c r="G34" i="6"/>
  <c r="G43" i="6"/>
  <c r="G38" i="6"/>
  <c r="G27" i="6"/>
  <c r="G41" i="6"/>
  <c r="G30" i="6"/>
  <c r="G33" i="6"/>
  <c r="G26" i="6"/>
  <c r="G35" i="6"/>
  <c r="G42" i="6"/>
  <c r="G29" i="6"/>
</calcChain>
</file>

<file path=xl/sharedStrings.xml><?xml version="1.0" encoding="utf-8"?>
<sst xmlns="http://schemas.openxmlformats.org/spreadsheetml/2006/main" count="1154" uniqueCount="268">
  <si>
    <t>date</t>
  </si>
  <si>
    <t>model</t>
  </si>
  <si>
    <t>mode</t>
  </si>
  <si>
    <t>timestamp</t>
  </si>
  <si>
    <t>level</t>
  </si>
  <si>
    <t>passed</t>
  </si>
  <si>
    <t>failed</t>
  </si>
  <si>
    <t>executed</t>
  </si>
  <si>
    <t>score</t>
  </si>
  <si>
    <t>20251020-1</t>
  </si>
  <si>
    <t>codellama-13b</t>
  </si>
  <si>
    <t>direct</t>
  </si>
  <si>
    <t>deepseek-coder-33b</t>
  </si>
  <si>
    <t>deepseek-coder-6.7b</t>
  </si>
  <si>
    <t>gemma3-12b</t>
  </si>
  <si>
    <t>cascade</t>
  </si>
  <si>
    <t>20251020-214045</t>
  </si>
  <si>
    <t>20251020-222603</t>
  </si>
  <si>
    <t>20251021-170829</t>
  </si>
  <si>
    <t>20251021-171901</t>
  </si>
  <si>
    <t>gemma3-27b</t>
  </si>
  <si>
    <t>20251020-234444</t>
  </si>
  <si>
    <t>20251021-020650</t>
  </si>
  <si>
    <t>20251021-175635</t>
  </si>
  <si>
    <t>20251021-190720</t>
  </si>
  <si>
    <t>gpt-oss-20b</t>
  </si>
  <si>
    <t>20251020-165124</t>
  </si>
  <si>
    <t>20251020-174636</t>
  </si>
  <si>
    <t>20251021-152301</t>
  </si>
  <si>
    <t>20251021-154018</t>
  </si>
  <si>
    <t>llama3.1-8b</t>
  </si>
  <si>
    <t>20251020-202744</t>
  </si>
  <si>
    <t>20251020-210501</t>
  </si>
  <si>
    <t>20251021-015727</t>
  </si>
  <si>
    <t>20251021-020411</t>
  </si>
  <si>
    <t>llama3.3-70b</t>
  </si>
  <si>
    <t>20251020-165147</t>
  </si>
  <si>
    <t>20251020-181934</t>
  </si>
  <si>
    <t>20251020-221221</t>
  </si>
  <si>
    <t>20251020-230128</t>
  </si>
  <si>
    <t>phi4-14b</t>
  </si>
  <si>
    <t>20251021-131225</t>
  </si>
  <si>
    <t>20251021-142018</t>
  </si>
  <si>
    <t>20251021-234154</t>
  </si>
  <si>
    <t>20251021-235733</t>
  </si>
  <si>
    <t>qwen2.5-coder-14b</t>
  </si>
  <si>
    <t>qwen2.5-coder-32b</t>
  </si>
  <si>
    <t>qwen3-14b</t>
  </si>
  <si>
    <t>20251021-042928</t>
  </si>
  <si>
    <t>20251021-070105</t>
  </si>
  <si>
    <t>20251021-210247</t>
  </si>
  <si>
    <t>20251021-211834</t>
  </si>
  <si>
    <t>qwen3-30b</t>
  </si>
  <si>
    <t>20251021-093719</t>
  </si>
  <si>
    <t>20251021-110129</t>
  </si>
  <si>
    <t>20251021-215732</t>
  </si>
  <si>
    <t>20251021-222933</t>
  </si>
  <si>
    <t>总计</t>
  </si>
  <si>
    <t>平均值项:score</t>
  </si>
  <si>
    <t>20251028-1-jsdirect3</t>
  </si>
  <si>
    <t>20251029-033943</t>
  </si>
  <si>
    <t>codellama-34b</t>
  </si>
  <si>
    <t>20251029-003016</t>
  </si>
  <si>
    <t>20251029-034434</t>
  </si>
  <si>
    <t>20251029-035859</t>
  </si>
  <si>
    <t>20251028-202130</t>
  </si>
  <si>
    <t>20251028-204251</t>
  </si>
  <si>
    <t>20251028-201946</t>
  </si>
  <si>
    <t>20251029-001818</t>
  </si>
  <si>
    <t>20251028-230205</t>
  </si>
  <si>
    <t>20251028-212851</t>
  </si>
  <si>
    <t>20251028-224242</t>
  </si>
  <si>
    <t>20251028-215453</t>
  </si>
  <si>
    <t>20251028-205505</t>
  </si>
  <si>
    <t>20251028-212125</t>
  </si>
  <si>
    <t>Model</t>
  </si>
  <si>
    <t>Level 1 Cascade</t>
  </si>
  <si>
    <t>Level 1 E2E</t>
  </si>
  <si>
    <t>Level 2 Cascade</t>
  </si>
  <si>
    <t>Level 2 E2E</t>
  </si>
  <si>
    <t>Level 3</t>
  </si>
  <si>
    <t>Avg.</t>
  </si>
  <si>
    <t>Close-source LLMs</t>
  </si>
  <si>
    <t>Gemini 2.5-flash</t>
  </si>
  <si>
    <t>GPT-3.5-turbo</t>
  </si>
  <si>
    <t>GPT-5</t>
  </si>
  <si>
    <t>Open-source LLMs</t>
  </si>
  <si>
    <t>GPT-oss-20B</t>
  </si>
  <si>
    <t>Gemma-3-12B</t>
  </si>
  <si>
    <t>Gemma-3-27B</t>
  </si>
  <si>
    <t>Qwen3-14B</t>
  </si>
  <si>
    <t>Qwen3-30B</t>
  </si>
  <si>
    <t>Llama3.3-70B</t>
  </si>
  <si>
    <t>Llama3.1-8B</t>
  </si>
  <si>
    <t>Phi4-14B</t>
  </si>
  <si>
    <t>Code generation LLMs</t>
  </si>
  <si>
    <t>Qwen2.5-Coder-14B</t>
  </si>
  <si>
    <t>Qwen2.5-Coder-32B</t>
  </si>
  <si>
    <t>CodeLlama-13B</t>
  </si>
  <si>
    <t>CodeLlama-34B</t>
  </si>
  <si>
    <t>CodeLlama-70B</t>
  </si>
  <si>
    <t>DeepSeek-Coder-6.7B</t>
  </si>
  <si>
    <t>DeepSeek-Coder-33B</t>
  </si>
  <si>
    <t>20251024-1-python</t>
  </si>
  <si>
    <t>20251027-124148</t>
  </si>
  <si>
    <t>20251027-120902</t>
  </si>
  <si>
    <t>20251027-125123</t>
  </si>
  <si>
    <t>20251027-131027</t>
  </si>
  <si>
    <t>20251024-131206</t>
  </si>
  <si>
    <t>20251024-152512</t>
  </si>
  <si>
    <t>20251025-035647</t>
  </si>
  <si>
    <t>20251026-000440</t>
  </si>
  <si>
    <t>20251026-124526</t>
  </si>
  <si>
    <t>20251024-164054</t>
  </si>
  <si>
    <t>20251024-191431</t>
  </si>
  <si>
    <t>20251026-153202</t>
  </si>
  <si>
    <t>20251026-160357</t>
  </si>
  <si>
    <t>20251026-163553</t>
  </si>
  <si>
    <t>20251027-144655</t>
  </si>
  <si>
    <t>20251027-231354</t>
  </si>
  <si>
    <t>20251028-103017</t>
  </si>
  <si>
    <t>20251028-111620</t>
  </si>
  <si>
    <t>20251028-115311</t>
  </si>
  <si>
    <t>20251025-021937</t>
  </si>
  <si>
    <t>20251025-023857</t>
  </si>
  <si>
    <t>20251027-115021</t>
  </si>
  <si>
    <t>20251027-115407</t>
  </si>
  <si>
    <t>20251027-115903</t>
  </si>
  <si>
    <t>20251024-221451</t>
  </si>
  <si>
    <t>20251024-234322</t>
  </si>
  <si>
    <t>20251026-185922</t>
  </si>
  <si>
    <t>20251026-201451</t>
  </si>
  <si>
    <t>20251027-023405</t>
  </si>
  <si>
    <t>20251024-205026</t>
  </si>
  <si>
    <t>20251026-171609</t>
  </si>
  <si>
    <t>20251026-173028</t>
  </si>
  <si>
    <t>20251026-174741</t>
  </si>
  <si>
    <t>20251026-184354</t>
  </si>
  <si>
    <t>20251026-180746</t>
  </si>
  <si>
    <t>20251028-033643</t>
  </si>
  <si>
    <t>20251028-043312</t>
  </si>
  <si>
    <t>20251028-151558</t>
  </si>
  <si>
    <t>20251028-153838</t>
  </si>
  <si>
    <t>20251028-160505</t>
  </si>
  <si>
    <t>20251028-054300</t>
  </si>
  <si>
    <t>20251028-062711</t>
  </si>
  <si>
    <t>20251028-163205</t>
  </si>
  <si>
    <t>20251028-172008</t>
  </si>
  <si>
    <t>20251028-181114</t>
  </si>
  <si>
    <t>gemini-2.5-flash</t>
  </si>
  <si>
    <t>gpt-5</t>
  </si>
  <si>
    <t>gpt-3.5-turbo</t>
  </si>
  <si>
    <t>Python</t>
  </si>
  <si>
    <t>JavaScript</t>
  </si>
  <si>
    <t>pyclosesources</t>
  </si>
  <si>
    <t>20251029-185302</t>
  </si>
  <si>
    <t>20251029-185942</t>
  </si>
  <si>
    <t>20251029-190602</t>
  </si>
  <si>
    <t>20251029-191051</t>
  </si>
  <si>
    <t>20251029-191658</t>
  </si>
  <si>
    <t>20251030-040002</t>
  </si>
  <si>
    <t>20251030-081054</t>
  </si>
  <si>
    <t>20251030-112043</t>
  </si>
  <si>
    <t>20251030-143432</t>
  </si>
  <si>
    <t>20251030-183910</t>
  </si>
  <si>
    <t>Cascade (Level 1) Python</t>
  </si>
  <si>
    <t>Cascade (Level 1) Java</t>
  </si>
  <si>
    <t>Cascade (Level 1) JavaScript</t>
  </si>
  <si>
    <t>End-to-End (Level 1) Python</t>
  </si>
  <si>
    <t>End-to-End (Level 1) Java</t>
  </si>
  <si>
    <t>End-to-End (Level 1) JavaScript</t>
  </si>
  <si>
    <t>All Avg.</t>
  </si>
  <si>
    <t>20251030-074046</t>
  </si>
  <si>
    <t>20251030-091527</t>
  </si>
  <si>
    <t>20251030-102457</t>
  </si>
  <si>
    <t>20251030-110655</t>
  </si>
  <si>
    <t>20251030-115800</t>
  </si>
  <si>
    <t>source</t>
  </si>
  <si>
    <t>open</t>
  </si>
  <si>
    <t>close</t>
  </si>
  <si>
    <t>Cascade</t>
  </si>
  <si>
    <t>E2E</t>
  </si>
  <si>
    <t>js-closesources</t>
  </si>
  <si>
    <t>20251030-025443</t>
  </si>
  <si>
    <t>20251030-035616</t>
  </si>
  <si>
    <t>20251030-044830</t>
  </si>
  <si>
    <t>20251030-052716</t>
  </si>
  <si>
    <t>20251030-060822</t>
  </si>
  <si>
    <t>20251029-103141</t>
  </si>
  <si>
    <t>20251029-103801</t>
  </si>
  <si>
    <t>20251029-104251</t>
  </si>
  <si>
    <t>20251029-104710</t>
  </si>
  <si>
    <t>20251029-105119</t>
  </si>
  <si>
    <t>20251029-060314</t>
  </si>
  <si>
    <t>20251029-111936</t>
  </si>
  <si>
    <t>20251029-142441</t>
  </si>
  <si>
    <t>20251029-162314</t>
  </si>
  <si>
    <t>20251029-181051</t>
  </si>
  <si>
    <t>20251031-1-javadirect3</t>
  </si>
  <si>
    <t>20251031-201036</t>
  </si>
  <si>
    <t>20251031-200950</t>
  </si>
  <si>
    <t>20251031-202957</t>
  </si>
  <si>
    <t>20251029-1-java-opensources</t>
  </si>
  <si>
    <t>20251029-141855</t>
  </si>
  <si>
    <t>20251029-172111</t>
  </si>
  <si>
    <t>20251029-222906</t>
  </si>
  <si>
    <t>20251030-034426</t>
  </si>
  <si>
    <t>20251031-122752</t>
  </si>
  <si>
    <t>20251029-175440</t>
  </si>
  <si>
    <t>20251029-194639</t>
  </si>
  <si>
    <t>20251030-043918</t>
  </si>
  <si>
    <t>20251030-071615</t>
  </si>
  <si>
    <t>20251031-125613</t>
  </si>
  <si>
    <t>20251029-125403</t>
  </si>
  <si>
    <t>20251029-132951</t>
  </si>
  <si>
    <t>20251029-204820</t>
  </si>
  <si>
    <t>20251029-211634</t>
  </si>
  <si>
    <t>20251031-103326</t>
  </si>
  <si>
    <t>20251029-184641</t>
  </si>
  <si>
    <t>20251029-191234</t>
  </si>
  <si>
    <t>20251030-104414</t>
  </si>
  <si>
    <t>20251030-105514</t>
  </si>
  <si>
    <t>20251031-121129</t>
  </si>
  <si>
    <t>20251029-154027</t>
  </si>
  <si>
    <t>20251029-171738</t>
  </si>
  <si>
    <t>20251029-234940</t>
  </si>
  <si>
    <t>20251030-051120</t>
  </si>
  <si>
    <t>20251031-103338</t>
  </si>
  <si>
    <t>20251029-192418</t>
  </si>
  <si>
    <t>20251029-195320</t>
  </si>
  <si>
    <t>20251030-111338</t>
  </si>
  <si>
    <t>20251030-113309</t>
  </si>
  <si>
    <t>20251031-122818</t>
  </si>
  <si>
    <t>20251031-134204</t>
  </si>
  <si>
    <t>20251031-125746</t>
  </si>
  <si>
    <t>20251029-125440</t>
  </si>
  <si>
    <t>20251029-132743</t>
  </si>
  <si>
    <t>20251029-201841</t>
  </si>
  <si>
    <t>20251029-210018</t>
  </si>
  <si>
    <t>20251031-160932</t>
  </si>
  <si>
    <t>20251029-140305</t>
  </si>
  <si>
    <t>20251029-145633</t>
  </si>
  <si>
    <t>20251029-221104</t>
  </si>
  <si>
    <t>20251029-224821</t>
  </si>
  <si>
    <t>20251031-172120</t>
  </si>
  <si>
    <t>java-closesources</t>
  </si>
  <si>
    <t>20251031-024913</t>
  </si>
  <si>
    <t>20251031-035211</t>
  </si>
  <si>
    <t>20251031-043822</t>
  </si>
  <si>
    <t>20251031-051204</t>
  </si>
  <si>
    <t>20251031-055324</t>
  </si>
  <si>
    <t>20251031-170431</t>
  </si>
  <si>
    <t>20251031-171429</t>
  </si>
  <si>
    <t>20251031-172358</t>
  </si>
  <si>
    <t>20251031-173137</t>
  </si>
  <si>
    <t>20251031-173921</t>
  </si>
  <si>
    <t>20251031-024108</t>
  </si>
  <si>
    <t>20251031-052318</t>
  </si>
  <si>
    <t>20251031-075336</t>
  </si>
  <si>
    <t>20251031-090500</t>
  </si>
  <si>
    <t>20251031-104145</t>
  </si>
  <si>
    <t>source</t>
    <phoneticPr fontId="1" type="noConversion"/>
  </si>
  <si>
    <t>close</t>
    <phoneticPr fontId="1" type="noConversion"/>
  </si>
  <si>
    <t>open</t>
    <phoneticPr fontId="1" type="noConversion"/>
  </si>
  <si>
    <t>Java</t>
    <phoneticPr fontId="1" type="noConversion"/>
  </si>
  <si>
    <t>Avg.</t>
    <phoneticPr fontId="1" type="noConversion"/>
  </si>
  <si>
    <t>-</t>
    <phoneticPr fontId="1" type="noConversion"/>
  </si>
  <si>
    <t>Gemini-2.5-flash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</si>
</sst>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176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vertical="center"/>
    </xf>
  </cellXfs>
  <cellStyles count="1">
    <cellStyle name="常规" xfId="0" builtinId="0"/>
  </cellStyles>
  <dxfs count="4">
    <dxf>
      <numFmt numFmtId="176" formatCode="0.0%"/>
    </dxf>
    <dxf>
      <numFmt numFmtId="176" formatCode="0.0%"/>
    </dxf>
    <dxf>
      <numFmt numFmtId="176" formatCode="0.0%"/>
    </dxf>
    <dxf>
      <numFmt numFmtId="176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" refreshedDate="45961.743424537039" createdVersion="6" refreshedVersion="6" minRefreshableVersion="3" recordCount="60" xr:uid="{0DDB34D6-A7B7-414A-BB54-AF8F180B66C0}">
  <cacheSource type="worksheet">
    <worksheetSource ref="A1:J61" sheet="Python"/>
  </cacheSource>
  <cacheFields count="10">
    <cacheField name="date" numFmtId="0">
      <sharedItems/>
    </cacheField>
    <cacheField name="model" numFmtId="0">
      <sharedItems count="17">
        <s v="codellama-13b"/>
        <s v="codellama-34b"/>
        <s v="deepseek-coder-33b"/>
        <s v="deepseek-coder-6.7b"/>
        <s v="gemma3-12b"/>
        <s v="gemma3-27b"/>
        <s v="gpt-oss-20b"/>
        <s v="llama3.1-8b"/>
        <s v="llama3.3-70b"/>
        <s v="phi4-14b"/>
        <s v="qwen2.5-coder-14b"/>
        <s v="qwen2.5-coder-32b"/>
        <s v="qwen3-14b"/>
        <s v="qwen3-30b"/>
        <s v="gemini-2.5-flash"/>
        <s v="gpt-3.5-turbo"/>
        <s v="gpt-5"/>
      </sharedItems>
    </cacheField>
    <cacheField name="mode" numFmtId="0">
      <sharedItems count="2">
        <s v="direct"/>
        <s v="cascade"/>
      </sharedItems>
    </cacheField>
    <cacheField name="timestamp" numFmtId="0">
      <sharedItems/>
    </cacheField>
    <cacheField name="level" numFmtId="0">
      <sharedItems containsSemiMixedTypes="0" containsString="0" containsNumber="1" containsInteger="1" minValue="1" maxValue="3" count="3">
        <n v="3"/>
        <n v="1"/>
        <n v="2"/>
      </sharedItems>
    </cacheField>
    <cacheField name="passed" numFmtId="0">
      <sharedItems containsSemiMixedTypes="0" containsString="0" containsNumber="1" containsInteger="1" minValue="0" maxValue="123"/>
    </cacheField>
    <cacheField name="failed" numFmtId="0">
      <sharedItems containsSemiMixedTypes="0" containsString="0" containsNumber="1" containsInteger="1" minValue="161" maxValue="284"/>
    </cacheField>
    <cacheField name="executed" numFmtId="0">
      <sharedItems containsSemiMixedTypes="0" containsString="0" containsNumber="1" containsInteger="1" minValue="0" maxValue="266"/>
    </cacheField>
    <cacheField name="score" numFmtId="0">
      <sharedItems containsSemiMixedTypes="0" containsString="0" containsNumber="1" minValue="0" maxValue="0.43309859154929498"/>
    </cacheField>
    <cacheField name="source" numFmtId="0">
      <sharedItems count="2">
        <s v="open"/>
        <s v="clos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" refreshedDate="45961.901504050926" createdVersion="6" refreshedVersion="6" minRefreshableVersion="3" recordCount="61" xr:uid="{91E3B325-9369-49F3-9275-FCE090848D67}">
  <cacheSource type="worksheet">
    <worksheetSource ref="A1:J62" sheet="JavaScript"/>
  </cacheSource>
  <cacheFields count="10">
    <cacheField name="date" numFmtId="0">
      <sharedItems/>
    </cacheField>
    <cacheField name="model" numFmtId="0">
      <sharedItems count="17">
        <s v="codellama-13b"/>
        <s v="codellama-34b"/>
        <s v="deepseek-coder-33b"/>
        <s v="deepseek-coder-6.7b"/>
        <s v="qwen2.5-coder-14b"/>
        <s v="qwen2.5-coder-32b"/>
        <s v="gemma3-12b"/>
        <s v="gemma3-27b"/>
        <s v="gpt-oss-20b"/>
        <s v="llama3.1-8b"/>
        <s v="llama3.3-70b"/>
        <s v="phi4-14b"/>
        <s v="qwen3-14b"/>
        <s v="qwen3-30b"/>
        <s v="gemini-2.5-flash"/>
        <s v="gpt-3.5-turbo"/>
        <s v="gpt-5"/>
      </sharedItems>
    </cacheField>
    <cacheField name="mode" numFmtId="0">
      <sharedItems count="2">
        <s v="direct"/>
        <s v="cascade"/>
      </sharedItems>
    </cacheField>
    <cacheField name="timestamp" numFmtId="0">
      <sharedItems/>
    </cacheField>
    <cacheField name="level" numFmtId="0">
      <sharedItems containsSemiMixedTypes="0" containsString="0" containsNumber="1" containsInteger="1" minValue="1" maxValue="3" count="3">
        <n v="3"/>
        <n v="1"/>
        <n v="2"/>
      </sharedItems>
    </cacheField>
    <cacheField name="passed" numFmtId="0">
      <sharedItems containsSemiMixedTypes="0" containsString="0" containsNumber="1" containsInteger="1" minValue="0" maxValue="127"/>
    </cacheField>
    <cacheField name="failed" numFmtId="0">
      <sharedItems containsSemiMixedTypes="0" containsString="0" containsNumber="1" containsInteger="1" minValue="157" maxValue="284"/>
    </cacheField>
    <cacheField name="executed" numFmtId="0">
      <sharedItems containsSemiMixedTypes="0" containsString="0" containsNumber="1" containsInteger="1" minValue="0" maxValue="263"/>
    </cacheField>
    <cacheField name="score" numFmtId="0">
      <sharedItems containsSemiMixedTypes="0" containsString="0" containsNumber="1" minValue="0" maxValue="0.44718309859154898"/>
    </cacheField>
    <cacheField name="source" numFmtId="0">
      <sharedItems count="2">
        <s v="open"/>
        <s v="clos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" refreshedDate="45962.115952430555" createdVersion="8" refreshedVersion="8" minRefreshableVersion="3" recordCount="60" xr:uid="{BE2D15C4-F974-47DE-B992-F5B51CDB330B}">
  <cacheSource type="worksheet">
    <worksheetSource ref="A1:J61" sheet="Java"/>
  </cacheSource>
  <cacheFields count="10">
    <cacheField name="date" numFmtId="0">
      <sharedItems/>
    </cacheField>
    <cacheField name="model" numFmtId="0">
      <sharedItems count="16">
        <s v="codellama-13b"/>
        <s v="deepseek-coder-33b"/>
        <s v="deepseek-coder-6.7b"/>
        <s v="gemma3-12b"/>
        <s v="gemma3-27b"/>
        <s v="gpt-oss-20b"/>
        <s v="llama3.1-8b"/>
        <s v="llama3.3-70b"/>
        <s v="phi4-14b"/>
        <s v="qwen2.5-coder-14b"/>
        <s v="qwen2.5-coder-32b"/>
        <s v="qwen3-14b"/>
        <s v="qwen3-30b"/>
        <s v="gemini-2.5-flash"/>
        <s v="gpt-3.5-turbo"/>
        <s v="gpt-5"/>
      </sharedItems>
    </cacheField>
    <cacheField name="mode" numFmtId="0">
      <sharedItems count="2">
        <s v="direct"/>
        <s v="cascade"/>
      </sharedItems>
    </cacheField>
    <cacheField name="timestamp" numFmtId="0">
      <sharedItems/>
    </cacheField>
    <cacheField name="level" numFmtId="0">
      <sharedItems containsSemiMixedTypes="0" containsString="0" containsNumber="1" containsInteger="1" minValue="1" maxValue="3" count="3">
        <n v="3"/>
        <n v="1"/>
        <n v="2"/>
      </sharedItems>
    </cacheField>
    <cacheField name="passed" numFmtId="0">
      <sharedItems containsSemiMixedTypes="0" containsString="0" containsNumber="1" containsInteger="1" minValue="0" maxValue="130"/>
    </cacheField>
    <cacheField name="failed" numFmtId="0">
      <sharedItems containsSemiMixedTypes="0" containsString="0" containsNumber="1" containsInteger="1" minValue="154" maxValue="284"/>
    </cacheField>
    <cacheField name="executed" numFmtId="0">
      <sharedItems containsSemiMixedTypes="0" containsString="0" containsNumber="1" containsInteger="1" minValue="0" maxValue="256"/>
    </cacheField>
    <cacheField name="score" numFmtId="0">
      <sharedItems containsSemiMixedTypes="0" containsString="0" containsNumber="1" minValue="0" maxValue="0.45774647899999998"/>
    </cacheField>
    <cacheField name="source" numFmtId="0">
      <sharedItems count="2">
        <s v="open"/>
        <s v="clos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20251024-1-python"/>
    <x v="0"/>
    <x v="0"/>
    <s v="20251027-124148"/>
    <x v="0"/>
    <n v="3"/>
    <n v="281"/>
    <n v="23"/>
    <n v="1.0563380281690101E-2"/>
    <x v="0"/>
  </r>
  <r>
    <s v="20251024-1-python"/>
    <x v="1"/>
    <x v="0"/>
    <s v="20251027-120902"/>
    <x v="0"/>
    <n v="0"/>
    <n v="284"/>
    <n v="0"/>
    <n v="0"/>
    <x v="0"/>
  </r>
  <r>
    <s v="20251024-1-python"/>
    <x v="2"/>
    <x v="0"/>
    <s v="20251027-125123"/>
    <x v="0"/>
    <n v="9"/>
    <n v="275"/>
    <n v="98"/>
    <n v="3.1690140845070401E-2"/>
    <x v="0"/>
  </r>
  <r>
    <s v="20251024-1-python"/>
    <x v="3"/>
    <x v="0"/>
    <s v="20251027-131027"/>
    <x v="0"/>
    <n v="1"/>
    <n v="283"/>
    <n v="25"/>
    <n v="3.5211267605633799E-3"/>
    <x v="0"/>
  </r>
  <r>
    <s v="20251024-1-python"/>
    <x v="4"/>
    <x v="1"/>
    <s v="20251024-131206"/>
    <x v="1"/>
    <n v="9"/>
    <n v="275"/>
    <n v="37"/>
    <n v="3.1690140845070401E-2"/>
    <x v="0"/>
  </r>
  <r>
    <s v="20251024-1-python"/>
    <x v="4"/>
    <x v="1"/>
    <s v="20251024-152512"/>
    <x v="2"/>
    <n v="1"/>
    <n v="283"/>
    <n v="6"/>
    <n v="3.5211267605633799E-3"/>
    <x v="0"/>
  </r>
  <r>
    <s v="20251024-1-python"/>
    <x v="4"/>
    <x v="0"/>
    <s v="20251025-035647"/>
    <x v="1"/>
    <n v="3"/>
    <n v="281"/>
    <n v="31"/>
    <n v="1.0563380281690101E-2"/>
    <x v="0"/>
  </r>
  <r>
    <s v="20251024-1-python"/>
    <x v="4"/>
    <x v="0"/>
    <s v="20251026-000440"/>
    <x v="2"/>
    <n v="7"/>
    <n v="277"/>
    <n v="37"/>
    <n v="2.4647887323943601E-2"/>
    <x v="0"/>
  </r>
  <r>
    <s v="20251024-1-python"/>
    <x v="4"/>
    <x v="0"/>
    <s v="20251026-124526"/>
    <x v="0"/>
    <n v="19"/>
    <n v="265"/>
    <n v="152"/>
    <n v="6.6901408450704206E-2"/>
    <x v="0"/>
  </r>
  <r>
    <s v="20251024-1-python"/>
    <x v="5"/>
    <x v="1"/>
    <s v="20251024-164054"/>
    <x v="1"/>
    <n v="4"/>
    <n v="280"/>
    <n v="27"/>
    <n v="1.4084507042253501E-2"/>
    <x v="0"/>
  </r>
  <r>
    <s v="20251024-1-python"/>
    <x v="5"/>
    <x v="1"/>
    <s v="20251024-191431"/>
    <x v="2"/>
    <n v="4"/>
    <n v="280"/>
    <n v="28"/>
    <n v="1.4084507042253501E-2"/>
    <x v="0"/>
  </r>
  <r>
    <s v="20251024-1-python"/>
    <x v="5"/>
    <x v="0"/>
    <s v="20251026-153202"/>
    <x v="1"/>
    <n v="7"/>
    <n v="277"/>
    <n v="37"/>
    <n v="2.4647887323943601E-2"/>
    <x v="0"/>
  </r>
  <r>
    <s v="20251024-1-python"/>
    <x v="5"/>
    <x v="0"/>
    <s v="20251026-160357"/>
    <x v="2"/>
    <n v="7"/>
    <n v="277"/>
    <n v="37"/>
    <n v="2.4647887323943601E-2"/>
    <x v="0"/>
  </r>
  <r>
    <s v="20251024-1-python"/>
    <x v="5"/>
    <x v="0"/>
    <s v="20251026-163553"/>
    <x v="0"/>
    <n v="31"/>
    <n v="253"/>
    <n v="167"/>
    <n v="0.109154929577464"/>
    <x v="0"/>
  </r>
  <r>
    <s v="20251024-1-python"/>
    <x v="6"/>
    <x v="1"/>
    <s v="20251027-144655"/>
    <x v="1"/>
    <n v="16"/>
    <n v="268"/>
    <n v="67"/>
    <n v="5.6338028169014003E-2"/>
    <x v="0"/>
  </r>
  <r>
    <s v="20251024-1-python"/>
    <x v="6"/>
    <x v="1"/>
    <s v="20251027-231354"/>
    <x v="2"/>
    <n v="5"/>
    <n v="279"/>
    <n v="62"/>
    <n v="1.7605633802816899E-2"/>
    <x v="0"/>
  </r>
  <r>
    <s v="20251024-1-python"/>
    <x v="6"/>
    <x v="0"/>
    <s v="20251028-103017"/>
    <x v="1"/>
    <n v="15"/>
    <n v="269"/>
    <n v="105"/>
    <n v="5.2816901408450703E-2"/>
    <x v="0"/>
  </r>
  <r>
    <s v="20251024-1-python"/>
    <x v="6"/>
    <x v="0"/>
    <s v="20251028-111620"/>
    <x v="2"/>
    <n v="7"/>
    <n v="277"/>
    <n v="47"/>
    <n v="2.4647887323943601E-2"/>
    <x v="0"/>
  </r>
  <r>
    <s v="20251024-1-python"/>
    <x v="6"/>
    <x v="0"/>
    <s v="20251028-115311"/>
    <x v="0"/>
    <n v="41"/>
    <n v="243"/>
    <n v="162"/>
    <n v="0.14436619718309801"/>
    <x v="0"/>
  </r>
  <r>
    <s v="20251024-1-python"/>
    <x v="7"/>
    <x v="1"/>
    <s v="20251025-021937"/>
    <x v="1"/>
    <n v="4"/>
    <n v="280"/>
    <n v="31"/>
    <n v="1.4084507042253501E-2"/>
    <x v="0"/>
  </r>
  <r>
    <s v="20251024-1-python"/>
    <x v="7"/>
    <x v="1"/>
    <s v="20251025-023857"/>
    <x v="2"/>
    <n v="2"/>
    <n v="282"/>
    <n v="17"/>
    <n v="7.0422535211267599E-3"/>
    <x v="0"/>
  </r>
  <r>
    <s v="20251024-1-python"/>
    <x v="7"/>
    <x v="0"/>
    <s v="20251027-115021"/>
    <x v="1"/>
    <n v="0"/>
    <n v="284"/>
    <n v="0"/>
    <n v="0"/>
    <x v="0"/>
  </r>
  <r>
    <s v="20251024-1-python"/>
    <x v="7"/>
    <x v="0"/>
    <s v="20251027-115407"/>
    <x v="2"/>
    <n v="1"/>
    <n v="283"/>
    <n v="6"/>
    <n v="3.5211267605633799E-3"/>
    <x v="0"/>
  </r>
  <r>
    <s v="20251024-1-python"/>
    <x v="7"/>
    <x v="0"/>
    <s v="20251027-115903"/>
    <x v="0"/>
    <n v="0"/>
    <n v="284"/>
    <n v="0"/>
    <n v="0"/>
    <x v="0"/>
  </r>
  <r>
    <s v="20251024-1-python"/>
    <x v="8"/>
    <x v="1"/>
    <s v="20251024-221451"/>
    <x v="1"/>
    <n v="7"/>
    <n v="277"/>
    <n v="42"/>
    <n v="2.4647887323943601E-2"/>
    <x v="0"/>
  </r>
  <r>
    <s v="20251024-1-python"/>
    <x v="8"/>
    <x v="1"/>
    <s v="20251024-234322"/>
    <x v="2"/>
    <n v="5"/>
    <n v="279"/>
    <n v="37"/>
    <n v="1.7605633802816899E-2"/>
    <x v="0"/>
  </r>
  <r>
    <s v="20251024-1-python"/>
    <x v="8"/>
    <x v="0"/>
    <s v="20251026-185922"/>
    <x v="1"/>
    <n v="29"/>
    <n v="255"/>
    <n v="164"/>
    <n v="0.102112676056338"/>
    <x v="0"/>
  </r>
  <r>
    <s v="20251024-1-python"/>
    <x v="8"/>
    <x v="0"/>
    <s v="20251026-201451"/>
    <x v="2"/>
    <n v="5"/>
    <n v="279"/>
    <n v="31"/>
    <n v="1.7605633802816899E-2"/>
    <x v="0"/>
  </r>
  <r>
    <s v="20251024-1-python"/>
    <x v="8"/>
    <x v="0"/>
    <s v="20251027-023405"/>
    <x v="0"/>
    <n v="17"/>
    <n v="267"/>
    <n v="46"/>
    <n v="5.9859154929577399E-2"/>
    <x v="0"/>
  </r>
  <r>
    <s v="20251024-1-python"/>
    <x v="9"/>
    <x v="1"/>
    <s v="20251024-205026"/>
    <x v="2"/>
    <n v="0"/>
    <n v="284"/>
    <n v="0"/>
    <n v="0"/>
    <x v="0"/>
  </r>
  <r>
    <s v="20251024-1-python"/>
    <x v="9"/>
    <x v="0"/>
    <s v="20251026-171609"/>
    <x v="1"/>
    <n v="14"/>
    <n v="270"/>
    <n v="107"/>
    <n v="4.92957746478873E-2"/>
    <x v="0"/>
  </r>
  <r>
    <s v="20251024-1-python"/>
    <x v="9"/>
    <x v="0"/>
    <s v="20251026-173028"/>
    <x v="2"/>
    <n v="6"/>
    <n v="278"/>
    <n v="19"/>
    <n v="2.1126760563380202E-2"/>
    <x v="0"/>
  </r>
  <r>
    <s v="20251024-1-python"/>
    <x v="9"/>
    <x v="0"/>
    <s v="20251026-174741"/>
    <x v="0"/>
    <n v="36"/>
    <n v="248"/>
    <n v="207"/>
    <n v="0.12676056338028099"/>
    <x v="0"/>
  </r>
  <r>
    <s v="20251024-1-python"/>
    <x v="10"/>
    <x v="0"/>
    <s v="20251026-184354"/>
    <x v="0"/>
    <n v="1"/>
    <n v="283"/>
    <n v="8"/>
    <n v="3.5211267605633799E-3"/>
    <x v="0"/>
  </r>
  <r>
    <s v="20251024-1-python"/>
    <x v="11"/>
    <x v="0"/>
    <s v="20251026-180746"/>
    <x v="0"/>
    <n v="25"/>
    <n v="259"/>
    <n v="149"/>
    <n v="8.8028169014084501E-2"/>
    <x v="0"/>
  </r>
  <r>
    <s v="20251024-1-python"/>
    <x v="12"/>
    <x v="1"/>
    <s v="20251028-033643"/>
    <x v="1"/>
    <n v="0"/>
    <n v="284"/>
    <n v="0"/>
    <n v="0"/>
    <x v="0"/>
  </r>
  <r>
    <s v="20251024-1-python"/>
    <x v="12"/>
    <x v="1"/>
    <s v="20251028-043312"/>
    <x v="2"/>
    <n v="3"/>
    <n v="281"/>
    <n v="28"/>
    <n v="1.0563380281690101E-2"/>
    <x v="0"/>
  </r>
  <r>
    <s v="20251024-1-python"/>
    <x v="12"/>
    <x v="0"/>
    <s v="20251028-151558"/>
    <x v="1"/>
    <n v="6"/>
    <n v="278"/>
    <n v="53"/>
    <n v="2.1126760563380202E-2"/>
    <x v="0"/>
  </r>
  <r>
    <s v="20251024-1-python"/>
    <x v="12"/>
    <x v="0"/>
    <s v="20251028-153838"/>
    <x v="2"/>
    <n v="9"/>
    <n v="275"/>
    <n v="51"/>
    <n v="3.1690140845070401E-2"/>
    <x v="0"/>
  </r>
  <r>
    <s v="20251024-1-python"/>
    <x v="12"/>
    <x v="0"/>
    <s v="20251028-160505"/>
    <x v="0"/>
    <n v="15"/>
    <n v="269"/>
    <n v="83"/>
    <n v="5.2816901408450703E-2"/>
    <x v="0"/>
  </r>
  <r>
    <s v="20251024-1-python"/>
    <x v="13"/>
    <x v="1"/>
    <s v="20251028-054300"/>
    <x v="1"/>
    <n v="13"/>
    <n v="271"/>
    <n v="78"/>
    <n v="4.5774647887323897E-2"/>
    <x v="0"/>
  </r>
  <r>
    <s v="20251024-1-python"/>
    <x v="13"/>
    <x v="1"/>
    <s v="20251028-062711"/>
    <x v="2"/>
    <n v="25"/>
    <n v="259"/>
    <n v="107"/>
    <n v="8.8028169014084501E-2"/>
    <x v="0"/>
  </r>
  <r>
    <s v="20251024-1-python"/>
    <x v="13"/>
    <x v="0"/>
    <s v="20251028-163205"/>
    <x v="1"/>
    <n v="11"/>
    <n v="273"/>
    <n v="114"/>
    <n v="3.8732394366197097E-2"/>
    <x v="0"/>
  </r>
  <r>
    <s v="20251024-1-python"/>
    <x v="13"/>
    <x v="0"/>
    <s v="20251028-172008"/>
    <x v="2"/>
    <n v="18"/>
    <n v="266"/>
    <n v="53"/>
    <n v="6.3380281690140802E-2"/>
    <x v="0"/>
  </r>
  <r>
    <s v="20251024-1-python"/>
    <x v="13"/>
    <x v="0"/>
    <s v="20251028-181114"/>
    <x v="0"/>
    <n v="43"/>
    <n v="241"/>
    <n v="247"/>
    <n v="0.15140845070422501"/>
    <x v="0"/>
  </r>
  <r>
    <s v="pyclosesources"/>
    <x v="14"/>
    <x v="1"/>
    <s v="20251030-074046"/>
    <x v="1"/>
    <n v="22"/>
    <n v="262"/>
    <n v="51"/>
    <n v="7.7464788732394305E-2"/>
    <x v="1"/>
  </r>
  <r>
    <s v="pyclosesources"/>
    <x v="14"/>
    <x v="1"/>
    <s v="20251030-091527"/>
    <x v="2"/>
    <n v="36"/>
    <n v="248"/>
    <n v="118"/>
    <n v="0.12676056338028099"/>
    <x v="1"/>
  </r>
  <r>
    <s v="pyclosesources"/>
    <x v="14"/>
    <x v="0"/>
    <s v="20251030-102457"/>
    <x v="1"/>
    <n v="56"/>
    <n v="228"/>
    <n v="260"/>
    <n v="0.19718309859154901"/>
    <x v="1"/>
  </r>
  <r>
    <s v="pyclosesources"/>
    <x v="14"/>
    <x v="0"/>
    <s v="20251030-110655"/>
    <x v="2"/>
    <n v="54"/>
    <n v="230"/>
    <n v="211"/>
    <n v="0.190140845070422"/>
    <x v="1"/>
  </r>
  <r>
    <s v="pyclosesources"/>
    <x v="14"/>
    <x v="0"/>
    <s v="20251030-115800"/>
    <x v="0"/>
    <n v="52"/>
    <n v="232"/>
    <n v="215"/>
    <n v="0.183098591549295"/>
    <x v="1"/>
  </r>
  <r>
    <s v="pyclosesources"/>
    <x v="15"/>
    <x v="1"/>
    <s v="20251029-185302"/>
    <x v="1"/>
    <n v="7"/>
    <n v="277"/>
    <n v="37"/>
    <n v="2.4647887323943601E-2"/>
    <x v="1"/>
  </r>
  <r>
    <s v="pyclosesources"/>
    <x v="15"/>
    <x v="1"/>
    <s v="20251029-185942"/>
    <x v="2"/>
    <n v="7"/>
    <n v="277"/>
    <n v="37"/>
    <n v="2.4647887323943601E-2"/>
    <x v="1"/>
  </r>
  <r>
    <s v="pyclosesources"/>
    <x v="15"/>
    <x v="0"/>
    <s v="20251029-190602"/>
    <x v="1"/>
    <n v="7"/>
    <n v="277"/>
    <n v="37"/>
    <n v="2.4647887323943601E-2"/>
    <x v="1"/>
  </r>
  <r>
    <s v="pyclosesources"/>
    <x v="15"/>
    <x v="0"/>
    <s v="20251029-191051"/>
    <x v="2"/>
    <n v="7"/>
    <n v="277"/>
    <n v="37"/>
    <n v="2.4647887323943601E-2"/>
    <x v="1"/>
  </r>
  <r>
    <s v="pyclosesources"/>
    <x v="15"/>
    <x v="0"/>
    <s v="20251029-191658"/>
    <x v="0"/>
    <n v="17"/>
    <n v="267"/>
    <n v="135"/>
    <n v="5.9859154929577399E-2"/>
    <x v="1"/>
  </r>
  <r>
    <s v="pyclosesources"/>
    <x v="16"/>
    <x v="1"/>
    <s v="20251030-040002"/>
    <x v="1"/>
    <n v="46"/>
    <n v="238"/>
    <n v="150"/>
    <n v="0.161971830985915"/>
    <x v="1"/>
  </r>
  <r>
    <s v="pyclosesources"/>
    <x v="16"/>
    <x v="1"/>
    <s v="20251030-081054"/>
    <x v="2"/>
    <n v="117"/>
    <n v="167"/>
    <n v="233"/>
    <n v="0.411971830985915"/>
    <x v="1"/>
  </r>
  <r>
    <s v="pyclosesources"/>
    <x v="16"/>
    <x v="0"/>
    <s v="20251030-112043"/>
    <x v="1"/>
    <n v="77"/>
    <n v="207"/>
    <n v="249"/>
    <n v="0.27112676056337998"/>
    <x v="1"/>
  </r>
  <r>
    <s v="pyclosesources"/>
    <x v="16"/>
    <x v="0"/>
    <s v="20251030-143432"/>
    <x v="2"/>
    <n v="96"/>
    <n v="188"/>
    <n v="250"/>
    <n v="0.338028169014084"/>
    <x v="1"/>
  </r>
  <r>
    <s v="pyclosesources"/>
    <x v="16"/>
    <x v="0"/>
    <s v="20251030-183910"/>
    <x v="0"/>
    <n v="123"/>
    <n v="161"/>
    <n v="266"/>
    <n v="0.43309859154929498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s v="20251028-1-jsdirect3"/>
    <x v="0"/>
    <x v="0"/>
    <s v="20251029-033943"/>
    <x v="0"/>
    <n v="1"/>
    <n v="283"/>
    <n v="9"/>
    <n v="3.5211267605633799E-3"/>
    <x v="0"/>
  </r>
  <r>
    <s v="20251028-1-jsdirect3"/>
    <x v="1"/>
    <x v="0"/>
    <s v="20251029-003016"/>
    <x v="0"/>
    <n v="0"/>
    <n v="284"/>
    <n v="0"/>
    <n v="0"/>
    <x v="0"/>
  </r>
  <r>
    <s v="20251028-1-jsdirect3"/>
    <x v="2"/>
    <x v="0"/>
    <s v="20251029-034434"/>
    <x v="0"/>
    <n v="8"/>
    <n v="276"/>
    <n v="50"/>
    <n v="2.8169014084507001E-2"/>
    <x v="0"/>
  </r>
  <r>
    <s v="20251028-1-jsdirect3"/>
    <x v="3"/>
    <x v="0"/>
    <s v="20251029-035859"/>
    <x v="0"/>
    <n v="6"/>
    <n v="278"/>
    <n v="72"/>
    <n v="2.1126760563380202E-2"/>
    <x v="0"/>
  </r>
  <r>
    <s v="20251028-1-jsdirect3"/>
    <x v="4"/>
    <x v="0"/>
    <s v="20251028-224242"/>
    <x v="0"/>
    <n v="25"/>
    <n v="259"/>
    <n v="133"/>
    <n v="8.8028169014084501E-2"/>
    <x v="0"/>
  </r>
  <r>
    <s v="20251028-1-jsdirect3"/>
    <x v="5"/>
    <x v="0"/>
    <s v="20251028-215453"/>
    <x v="0"/>
    <n v="27"/>
    <n v="257"/>
    <n v="153"/>
    <n v="9.5070422535211196E-2"/>
    <x v="0"/>
  </r>
  <r>
    <s v="20251020-1"/>
    <x v="6"/>
    <x v="1"/>
    <s v="20251020-214045"/>
    <x v="1"/>
    <n v="10"/>
    <n v="274"/>
    <n v="53"/>
    <n v="3.5211267605633798E-2"/>
    <x v="0"/>
  </r>
  <r>
    <s v="20251020-1"/>
    <x v="6"/>
    <x v="1"/>
    <s v="20251020-222603"/>
    <x v="2"/>
    <n v="3"/>
    <n v="281"/>
    <n v="20"/>
    <n v="1.0563380281690101E-2"/>
    <x v="0"/>
  </r>
  <r>
    <s v="20251020-1"/>
    <x v="6"/>
    <x v="0"/>
    <s v="20251021-170829"/>
    <x v="1"/>
    <n v="17"/>
    <n v="267"/>
    <n v="51"/>
    <n v="5.9859154929577399E-2"/>
    <x v="0"/>
  </r>
  <r>
    <s v="20251020-1"/>
    <x v="6"/>
    <x v="0"/>
    <s v="20251021-171901"/>
    <x v="2"/>
    <n v="0"/>
    <n v="284"/>
    <n v="0"/>
    <n v="0"/>
    <x v="0"/>
  </r>
  <r>
    <s v="20251020-1"/>
    <x v="7"/>
    <x v="1"/>
    <s v="20251020-234444"/>
    <x v="1"/>
    <n v="20"/>
    <n v="264"/>
    <n v="85"/>
    <n v="7.0422535211267595E-2"/>
    <x v="0"/>
  </r>
  <r>
    <s v="20251020-1"/>
    <x v="7"/>
    <x v="1"/>
    <s v="20251021-020650"/>
    <x v="2"/>
    <n v="10"/>
    <n v="274"/>
    <n v="62"/>
    <n v="3.5211267605633798E-2"/>
    <x v="0"/>
  </r>
  <r>
    <s v="20251020-1"/>
    <x v="7"/>
    <x v="0"/>
    <s v="20251021-175635"/>
    <x v="1"/>
    <n v="14"/>
    <n v="270"/>
    <n v="97"/>
    <n v="4.92957746478873E-2"/>
    <x v="0"/>
  </r>
  <r>
    <s v="20251020-1"/>
    <x v="7"/>
    <x v="0"/>
    <s v="20251021-190720"/>
    <x v="2"/>
    <n v="7"/>
    <n v="277"/>
    <n v="40"/>
    <n v="2.4647887323943601E-2"/>
    <x v="0"/>
  </r>
  <r>
    <s v="20251020-1"/>
    <x v="8"/>
    <x v="1"/>
    <s v="20251020-165124"/>
    <x v="1"/>
    <n v="16"/>
    <n v="268"/>
    <n v="80"/>
    <n v="5.6338028169014003E-2"/>
    <x v="0"/>
  </r>
  <r>
    <s v="20251020-1"/>
    <x v="8"/>
    <x v="1"/>
    <s v="20251020-174636"/>
    <x v="2"/>
    <n v="21"/>
    <n v="263"/>
    <n v="111"/>
    <n v="7.3943661971830901E-2"/>
    <x v="0"/>
  </r>
  <r>
    <s v="20251020-1"/>
    <x v="8"/>
    <x v="0"/>
    <s v="20251021-152301"/>
    <x v="1"/>
    <n v="31"/>
    <n v="253"/>
    <n v="119"/>
    <n v="0.109154929577464"/>
    <x v="0"/>
  </r>
  <r>
    <s v="20251020-1"/>
    <x v="8"/>
    <x v="0"/>
    <s v="20251021-154018"/>
    <x v="2"/>
    <n v="27"/>
    <n v="257"/>
    <n v="102"/>
    <n v="9.5070422535211196E-2"/>
    <x v="0"/>
  </r>
  <r>
    <s v="20251020-1"/>
    <x v="9"/>
    <x v="1"/>
    <s v="20251020-202744"/>
    <x v="1"/>
    <n v="1"/>
    <n v="283"/>
    <n v="9"/>
    <n v="3.5211267605633799E-3"/>
    <x v="0"/>
  </r>
  <r>
    <s v="20251020-1"/>
    <x v="9"/>
    <x v="1"/>
    <s v="20251020-210501"/>
    <x v="2"/>
    <n v="6"/>
    <n v="278"/>
    <n v="23"/>
    <n v="2.1126760563380202E-2"/>
    <x v="0"/>
  </r>
  <r>
    <s v="20251020-1"/>
    <x v="9"/>
    <x v="0"/>
    <s v="20251021-015727"/>
    <x v="1"/>
    <n v="0"/>
    <n v="284"/>
    <n v="0"/>
    <n v="0"/>
    <x v="0"/>
  </r>
  <r>
    <s v="20251020-1"/>
    <x v="9"/>
    <x v="0"/>
    <s v="20251021-020411"/>
    <x v="2"/>
    <n v="4"/>
    <n v="280"/>
    <n v="37"/>
    <n v="1.4084507042253501E-2"/>
    <x v="0"/>
  </r>
  <r>
    <s v="20251020-1"/>
    <x v="10"/>
    <x v="1"/>
    <s v="20251020-165147"/>
    <x v="1"/>
    <n v="32"/>
    <n v="252"/>
    <n v="210"/>
    <n v="0.11267605633802801"/>
    <x v="0"/>
  </r>
  <r>
    <s v="20251020-1"/>
    <x v="10"/>
    <x v="1"/>
    <s v="20251020-181934"/>
    <x v="2"/>
    <n v="33"/>
    <n v="251"/>
    <n v="220"/>
    <n v="0.11619718309859101"/>
    <x v="0"/>
  </r>
  <r>
    <s v="20251020-1"/>
    <x v="10"/>
    <x v="0"/>
    <s v="20251020-221221"/>
    <x v="1"/>
    <n v="38"/>
    <n v="246"/>
    <n v="210"/>
    <n v="0.13380281690140799"/>
    <x v="0"/>
  </r>
  <r>
    <s v="20251020-1"/>
    <x v="10"/>
    <x v="0"/>
    <s v="20251020-230128"/>
    <x v="2"/>
    <n v="57"/>
    <n v="227"/>
    <n v="121"/>
    <n v="0.20070422535211199"/>
    <x v="0"/>
  </r>
  <r>
    <s v="20251020-1"/>
    <x v="11"/>
    <x v="1"/>
    <s v="20251021-131225"/>
    <x v="1"/>
    <n v="15"/>
    <n v="269"/>
    <n v="102"/>
    <n v="5.2816901408450703E-2"/>
    <x v="0"/>
  </r>
  <r>
    <s v="20251020-1"/>
    <x v="11"/>
    <x v="1"/>
    <s v="20251021-142018"/>
    <x v="2"/>
    <n v="23"/>
    <n v="261"/>
    <n v="143"/>
    <n v="8.0985915492957694E-2"/>
    <x v="0"/>
  </r>
  <r>
    <s v="20251020-1"/>
    <x v="11"/>
    <x v="0"/>
    <s v="20251021-234154"/>
    <x v="1"/>
    <n v="28"/>
    <n v="256"/>
    <n v="211"/>
    <n v="9.85915492957746E-2"/>
    <x v="0"/>
  </r>
  <r>
    <s v="20251020-1"/>
    <x v="11"/>
    <x v="0"/>
    <s v="20251021-235733"/>
    <x v="2"/>
    <n v="40"/>
    <n v="244"/>
    <n v="187"/>
    <n v="0.140845070422535"/>
    <x v="0"/>
  </r>
  <r>
    <s v="20251020-1"/>
    <x v="12"/>
    <x v="1"/>
    <s v="20251021-042928"/>
    <x v="1"/>
    <n v="15"/>
    <n v="269"/>
    <n v="113"/>
    <n v="5.2816901408450703E-2"/>
    <x v="0"/>
  </r>
  <r>
    <s v="20251020-1"/>
    <x v="12"/>
    <x v="1"/>
    <s v="20251021-070105"/>
    <x v="2"/>
    <n v="11"/>
    <n v="273"/>
    <n v="125"/>
    <n v="3.8732394366197097E-2"/>
    <x v="0"/>
  </r>
  <r>
    <s v="20251020-1"/>
    <x v="12"/>
    <x v="0"/>
    <s v="20251021-210247"/>
    <x v="1"/>
    <n v="9"/>
    <n v="275"/>
    <n v="109"/>
    <n v="3.1690140845070401E-2"/>
    <x v="0"/>
  </r>
  <r>
    <s v="20251020-1"/>
    <x v="12"/>
    <x v="0"/>
    <s v="20251021-211834"/>
    <x v="2"/>
    <n v="2"/>
    <n v="282"/>
    <n v="15"/>
    <n v="7.0422535211267599E-3"/>
    <x v="0"/>
  </r>
  <r>
    <s v="20251020-1"/>
    <x v="13"/>
    <x v="1"/>
    <s v="20251021-093719"/>
    <x v="1"/>
    <n v="14"/>
    <n v="270"/>
    <n v="136"/>
    <n v="4.92957746478873E-2"/>
    <x v="0"/>
  </r>
  <r>
    <s v="20251020-1"/>
    <x v="13"/>
    <x v="1"/>
    <s v="20251021-110129"/>
    <x v="2"/>
    <n v="20"/>
    <n v="264"/>
    <n v="87"/>
    <n v="7.0422535211267595E-2"/>
    <x v="0"/>
  </r>
  <r>
    <s v="20251020-1"/>
    <x v="13"/>
    <x v="0"/>
    <s v="20251021-215732"/>
    <x v="1"/>
    <n v="8"/>
    <n v="276"/>
    <n v="71"/>
    <n v="2.8169014084507001E-2"/>
    <x v="0"/>
  </r>
  <r>
    <s v="20251020-1"/>
    <x v="13"/>
    <x v="0"/>
    <s v="20251021-222933"/>
    <x v="2"/>
    <n v="17"/>
    <n v="267"/>
    <n v="59"/>
    <n v="5.9859154929577399E-2"/>
    <x v="0"/>
  </r>
  <r>
    <s v="20251028-1-jsdirect3"/>
    <x v="6"/>
    <x v="0"/>
    <s v="20251028-202130"/>
    <x v="0"/>
    <n v="38"/>
    <n v="246"/>
    <n v="192"/>
    <n v="0.13380281690140799"/>
    <x v="0"/>
  </r>
  <r>
    <s v="20251028-1-jsdirect3"/>
    <x v="7"/>
    <x v="0"/>
    <s v="20251028-204251"/>
    <x v="0"/>
    <n v="40"/>
    <n v="244"/>
    <n v="209"/>
    <n v="0.140845070422535"/>
    <x v="0"/>
  </r>
  <r>
    <s v="20251028-1-jsdirect3"/>
    <x v="8"/>
    <x v="0"/>
    <s v="20251028-201946"/>
    <x v="0"/>
    <n v="23"/>
    <n v="261"/>
    <n v="164"/>
    <n v="8.0985915492957694E-2"/>
    <x v="0"/>
  </r>
  <r>
    <s v="20251028-1-jsdirect3"/>
    <x v="9"/>
    <x v="0"/>
    <s v="20251029-001818"/>
    <x v="0"/>
    <n v="1"/>
    <n v="283"/>
    <n v="9"/>
    <n v="3.5211267605633799E-3"/>
    <x v="0"/>
  </r>
  <r>
    <s v="20251028-1-jsdirect3"/>
    <x v="10"/>
    <x v="0"/>
    <s v="20251028-230205"/>
    <x v="0"/>
    <n v="38"/>
    <n v="246"/>
    <n v="203"/>
    <n v="0.13380281690140799"/>
    <x v="0"/>
  </r>
  <r>
    <s v="20251028-1-jsdirect3"/>
    <x v="11"/>
    <x v="0"/>
    <s v="20251028-212851"/>
    <x v="0"/>
    <n v="33"/>
    <n v="251"/>
    <n v="200"/>
    <n v="0.11619718309859101"/>
    <x v="0"/>
  </r>
  <r>
    <s v="20251028-1-jsdirect3"/>
    <x v="12"/>
    <x v="0"/>
    <s v="20251028-205505"/>
    <x v="0"/>
    <n v="7"/>
    <n v="277"/>
    <n v="55"/>
    <n v="2.4647887323943601E-2"/>
    <x v="0"/>
  </r>
  <r>
    <s v="20251028-1-jsdirect3"/>
    <x v="13"/>
    <x v="0"/>
    <s v="20251028-212125"/>
    <x v="0"/>
    <n v="22"/>
    <n v="262"/>
    <n v="204"/>
    <n v="7.7464788732394305E-2"/>
    <x v="0"/>
  </r>
  <r>
    <s v="js-closesources"/>
    <x v="14"/>
    <x v="1"/>
    <s v="20251030-025443"/>
    <x v="1"/>
    <n v="22"/>
    <n v="262"/>
    <n v="50"/>
    <n v="7.7464788732394305E-2"/>
    <x v="1"/>
  </r>
  <r>
    <s v="js-closesources"/>
    <x v="14"/>
    <x v="1"/>
    <s v="20251030-035616"/>
    <x v="2"/>
    <n v="43"/>
    <n v="241"/>
    <n v="115"/>
    <n v="0.15140845070422501"/>
    <x v="1"/>
  </r>
  <r>
    <s v="js-closesources"/>
    <x v="14"/>
    <x v="0"/>
    <s v="20251030-044830"/>
    <x v="1"/>
    <n v="41"/>
    <n v="243"/>
    <n v="144"/>
    <n v="0.14436619718309801"/>
    <x v="1"/>
  </r>
  <r>
    <s v="js-closesources"/>
    <x v="14"/>
    <x v="0"/>
    <s v="20251030-052716"/>
    <x v="2"/>
    <n v="45"/>
    <n v="239"/>
    <n v="152"/>
    <n v="0.15845070422535201"/>
    <x v="1"/>
  </r>
  <r>
    <s v="js-closesources"/>
    <x v="14"/>
    <x v="0"/>
    <s v="20251030-060822"/>
    <x v="0"/>
    <n v="90"/>
    <n v="194"/>
    <n v="212"/>
    <n v="0.31690140845070403"/>
    <x v="1"/>
  </r>
  <r>
    <s v="js-closesources"/>
    <x v="15"/>
    <x v="1"/>
    <s v="20251029-103141"/>
    <x v="1"/>
    <n v="7"/>
    <n v="277"/>
    <n v="37"/>
    <n v="2.4647887323943601E-2"/>
    <x v="1"/>
  </r>
  <r>
    <s v="js-closesources"/>
    <x v="15"/>
    <x v="1"/>
    <s v="20251029-103801"/>
    <x v="2"/>
    <n v="7"/>
    <n v="277"/>
    <n v="37"/>
    <n v="2.4647887323943601E-2"/>
    <x v="1"/>
  </r>
  <r>
    <s v="js-closesources"/>
    <x v="15"/>
    <x v="0"/>
    <s v="20251029-104251"/>
    <x v="1"/>
    <n v="6"/>
    <n v="278"/>
    <n v="23"/>
    <n v="2.1126760563380202E-2"/>
    <x v="1"/>
  </r>
  <r>
    <s v="js-closesources"/>
    <x v="15"/>
    <x v="0"/>
    <s v="20251029-104710"/>
    <x v="2"/>
    <n v="7"/>
    <n v="277"/>
    <n v="37"/>
    <n v="2.4647887323943601E-2"/>
    <x v="1"/>
  </r>
  <r>
    <s v="js-closesources"/>
    <x v="15"/>
    <x v="0"/>
    <s v="20251029-105119"/>
    <x v="0"/>
    <n v="11"/>
    <n v="273"/>
    <n v="69"/>
    <n v="3.8732394366197097E-2"/>
    <x v="1"/>
  </r>
  <r>
    <s v="js-closesources"/>
    <x v="16"/>
    <x v="1"/>
    <s v="20251029-060314"/>
    <x v="1"/>
    <n v="46"/>
    <n v="238"/>
    <n v="199"/>
    <n v="0.161971830985915"/>
    <x v="1"/>
  </r>
  <r>
    <s v="js-closesources"/>
    <x v="16"/>
    <x v="1"/>
    <s v="20251029-111936"/>
    <x v="2"/>
    <n v="109"/>
    <n v="175"/>
    <n v="240"/>
    <n v="0.38380281690140799"/>
    <x v="1"/>
  </r>
  <r>
    <s v="js-closesources"/>
    <x v="16"/>
    <x v="0"/>
    <s v="20251029-142441"/>
    <x v="1"/>
    <n v="68"/>
    <n v="216"/>
    <n v="247"/>
    <n v="0.23943661971830901"/>
    <x v="1"/>
  </r>
  <r>
    <s v="js-closesources"/>
    <x v="16"/>
    <x v="0"/>
    <s v="20251029-162314"/>
    <x v="2"/>
    <n v="112"/>
    <n v="172"/>
    <n v="263"/>
    <n v="0.39436619718309801"/>
    <x v="1"/>
  </r>
  <r>
    <s v="js-closesources"/>
    <x v="16"/>
    <x v="0"/>
    <s v="20251029-181051"/>
    <x v="0"/>
    <n v="127"/>
    <n v="157"/>
    <n v="231"/>
    <n v="0.44718309859154898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20251031-1-javadirect3"/>
    <x v="0"/>
    <x v="0"/>
    <s v="20251031-201036"/>
    <x v="0"/>
    <n v="2"/>
    <n v="282"/>
    <n v="15"/>
    <n v="7.0422540000000004E-3"/>
    <x v="0"/>
  </r>
  <r>
    <s v="20251031-1-javadirect3"/>
    <x v="1"/>
    <x v="0"/>
    <s v="20251031-200950"/>
    <x v="0"/>
    <n v="5"/>
    <n v="279"/>
    <n v="41"/>
    <n v="1.7605633999999998E-2"/>
    <x v="0"/>
  </r>
  <r>
    <s v="20251031-1-javadirect3"/>
    <x v="2"/>
    <x v="0"/>
    <s v="20251031-202957"/>
    <x v="0"/>
    <n v="1"/>
    <n v="283"/>
    <n v="6"/>
    <n v="3.5211270000000002E-3"/>
    <x v="0"/>
  </r>
  <r>
    <s v="20251029-1-java-opensources"/>
    <x v="3"/>
    <x v="1"/>
    <s v="20251029-141855"/>
    <x v="1"/>
    <n v="6"/>
    <n v="278"/>
    <n v="23"/>
    <n v="2.1126761000000001E-2"/>
    <x v="0"/>
  </r>
  <r>
    <s v="20251029-1-java-opensources"/>
    <x v="3"/>
    <x v="1"/>
    <s v="20251029-172111"/>
    <x v="2"/>
    <n v="1"/>
    <n v="283"/>
    <n v="14"/>
    <n v="3.5211270000000002E-3"/>
    <x v="0"/>
  </r>
  <r>
    <s v="20251029-1-java-opensources"/>
    <x v="3"/>
    <x v="0"/>
    <s v="20251029-222906"/>
    <x v="1"/>
    <n v="6"/>
    <n v="278"/>
    <n v="23"/>
    <n v="2.1126761000000001E-2"/>
    <x v="0"/>
  </r>
  <r>
    <s v="20251029-1-java-opensources"/>
    <x v="3"/>
    <x v="0"/>
    <s v="20251030-034426"/>
    <x v="2"/>
    <n v="7"/>
    <n v="277"/>
    <n v="37"/>
    <n v="2.4647887E-2"/>
    <x v="0"/>
  </r>
  <r>
    <s v="20251031-1-javadirect3"/>
    <x v="3"/>
    <x v="0"/>
    <s v="20251031-122752"/>
    <x v="0"/>
    <n v="4"/>
    <n v="280"/>
    <n v="37"/>
    <n v="1.4084507E-2"/>
    <x v="0"/>
  </r>
  <r>
    <s v="20251029-1-java-opensources"/>
    <x v="4"/>
    <x v="1"/>
    <s v="20251029-175440"/>
    <x v="1"/>
    <n v="8"/>
    <n v="276"/>
    <n v="40"/>
    <n v="2.8169013999999999E-2"/>
    <x v="0"/>
  </r>
  <r>
    <s v="20251029-1-java-opensources"/>
    <x v="4"/>
    <x v="1"/>
    <s v="20251029-194639"/>
    <x v="2"/>
    <n v="9"/>
    <n v="275"/>
    <n v="36"/>
    <n v="3.1690140999999998E-2"/>
    <x v="0"/>
  </r>
  <r>
    <s v="20251029-1-java-opensources"/>
    <x v="4"/>
    <x v="0"/>
    <s v="20251030-043918"/>
    <x v="1"/>
    <n v="5"/>
    <n v="279"/>
    <n v="37"/>
    <n v="1.7605633999999998E-2"/>
    <x v="0"/>
  </r>
  <r>
    <s v="20251029-1-java-opensources"/>
    <x v="4"/>
    <x v="0"/>
    <s v="20251030-071615"/>
    <x v="2"/>
    <n v="13"/>
    <n v="271"/>
    <n v="53"/>
    <n v="4.5774648000000001E-2"/>
    <x v="0"/>
  </r>
  <r>
    <s v="20251031-1-javadirect3"/>
    <x v="4"/>
    <x v="0"/>
    <s v="20251031-125613"/>
    <x v="0"/>
    <n v="19"/>
    <n v="265"/>
    <n v="70"/>
    <n v="6.6901407999999996E-2"/>
    <x v="0"/>
  </r>
  <r>
    <s v="20251029-1-java-opensources"/>
    <x v="5"/>
    <x v="1"/>
    <s v="20251029-125403"/>
    <x v="1"/>
    <n v="9"/>
    <n v="275"/>
    <n v="57"/>
    <n v="3.1690140999999998E-2"/>
    <x v="0"/>
  </r>
  <r>
    <s v="20251029-1-java-opensources"/>
    <x v="5"/>
    <x v="1"/>
    <s v="20251029-132951"/>
    <x v="2"/>
    <n v="22"/>
    <n v="262"/>
    <n v="103"/>
    <n v="7.7464789000000006E-2"/>
    <x v="0"/>
  </r>
  <r>
    <s v="20251029-1-java-opensources"/>
    <x v="5"/>
    <x v="0"/>
    <s v="20251029-204820"/>
    <x v="1"/>
    <n v="18"/>
    <n v="266"/>
    <n v="145"/>
    <n v="6.3380281999999996E-2"/>
    <x v="0"/>
  </r>
  <r>
    <s v="20251029-1-java-opensources"/>
    <x v="5"/>
    <x v="0"/>
    <s v="20251029-211634"/>
    <x v="2"/>
    <n v="19"/>
    <n v="265"/>
    <n v="73"/>
    <n v="6.6901407999999996E-2"/>
    <x v="0"/>
  </r>
  <r>
    <s v="20251031-1-javadirect3"/>
    <x v="5"/>
    <x v="0"/>
    <s v="20251031-103326"/>
    <x v="0"/>
    <n v="25"/>
    <n v="259"/>
    <n v="91"/>
    <n v="8.8028169000000003E-2"/>
    <x v="0"/>
  </r>
  <r>
    <s v="20251029-1-java-opensources"/>
    <x v="6"/>
    <x v="1"/>
    <s v="20251029-184641"/>
    <x v="1"/>
    <n v="2"/>
    <n v="282"/>
    <n v="15"/>
    <n v="7.0422540000000004E-3"/>
    <x v="0"/>
  </r>
  <r>
    <s v="20251029-1-java-opensources"/>
    <x v="6"/>
    <x v="1"/>
    <s v="20251029-191234"/>
    <x v="2"/>
    <n v="2"/>
    <n v="282"/>
    <n v="22"/>
    <n v="7.0422540000000004E-3"/>
    <x v="0"/>
  </r>
  <r>
    <s v="20251029-1-java-opensources"/>
    <x v="6"/>
    <x v="0"/>
    <s v="20251030-104414"/>
    <x v="1"/>
    <n v="2"/>
    <n v="282"/>
    <n v="6"/>
    <n v="7.0422540000000004E-3"/>
    <x v="0"/>
  </r>
  <r>
    <s v="20251029-1-java-opensources"/>
    <x v="6"/>
    <x v="0"/>
    <s v="20251030-105514"/>
    <x v="2"/>
    <n v="1"/>
    <n v="283"/>
    <n v="9"/>
    <n v="3.5211270000000002E-3"/>
    <x v="0"/>
  </r>
  <r>
    <s v="20251031-1-javadirect3"/>
    <x v="6"/>
    <x v="0"/>
    <s v="20251031-121129"/>
    <x v="0"/>
    <n v="2"/>
    <n v="282"/>
    <n v="15"/>
    <n v="7.0422540000000004E-3"/>
    <x v="0"/>
  </r>
  <r>
    <s v="20251029-1-java-opensources"/>
    <x v="7"/>
    <x v="1"/>
    <s v="20251029-154027"/>
    <x v="1"/>
    <n v="1"/>
    <n v="283"/>
    <n v="9"/>
    <n v="3.5211270000000002E-3"/>
    <x v="0"/>
  </r>
  <r>
    <s v="20251029-1-java-opensources"/>
    <x v="7"/>
    <x v="1"/>
    <s v="20251029-171738"/>
    <x v="2"/>
    <n v="1"/>
    <n v="283"/>
    <n v="14"/>
    <n v="3.5211270000000002E-3"/>
    <x v="0"/>
  </r>
  <r>
    <s v="20251029-1-java-opensources"/>
    <x v="7"/>
    <x v="0"/>
    <s v="20251029-234940"/>
    <x v="1"/>
    <n v="0"/>
    <n v="284"/>
    <n v="0"/>
    <n v="0"/>
    <x v="0"/>
  </r>
  <r>
    <s v="20251029-1-java-opensources"/>
    <x v="7"/>
    <x v="0"/>
    <s v="20251030-051120"/>
    <x v="2"/>
    <n v="5"/>
    <n v="279"/>
    <n v="31"/>
    <n v="1.7605633999999998E-2"/>
    <x v="0"/>
  </r>
  <r>
    <s v="20251031-1-javadirect3"/>
    <x v="7"/>
    <x v="0"/>
    <s v="20251031-103338"/>
    <x v="0"/>
    <n v="14"/>
    <n v="270"/>
    <n v="104"/>
    <n v="4.9295775E-2"/>
    <x v="0"/>
  </r>
  <r>
    <s v="20251029-1-java-opensources"/>
    <x v="8"/>
    <x v="1"/>
    <s v="20251029-192418"/>
    <x v="1"/>
    <n v="3"/>
    <n v="281"/>
    <n v="9"/>
    <n v="1.0563380000000001E-2"/>
    <x v="0"/>
  </r>
  <r>
    <s v="20251029-1-java-opensources"/>
    <x v="8"/>
    <x v="1"/>
    <s v="20251029-195320"/>
    <x v="2"/>
    <n v="3"/>
    <n v="281"/>
    <n v="14"/>
    <n v="1.0563380000000001E-2"/>
    <x v="0"/>
  </r>
  <r>
    <s v="20251029-1-java-opensources"/>
    <x v="8"/>
    <x v="0"/>
    <s v="20251030-111338"/>
    <x v="1"/>
    <n v="14"/>
    <n v="270"/>
    <n v="120"/>
    <n v="4.9295775E-2"/>
    <x v="0"/>
  </r>
  <r>
    <s v="20251029-1-java-opensources"/>
    <x v="8"/>
    <x v="0"/>
    <s v="20251030-113309"/>
    <x v="2"/>
    <n v="7"/>
    <n v="277"/>
    <n v="37"/>
    <n v="2.4647887E-2"/>
    <x v="0"/>
  </r>
  <r>
    <s v="20251031-1-javadirect3"/>
    <x v="8"/>
    <x v="0"/>
    <s v="20251031-122818"/>
    <x v="0"/>
    <n v="7"/>
    <n v="277"/>
    <n v="37"/>
    <n v="2.4647887E-2"/>
    <x v="0"/>
  </r>
  <r>
    <s v="20251031-1-javadirect3"/>
    <x v="9"/>
    <x v="0"/>
    <s v="20251031-134204"/>
    <x v="0"/>
    <n v="0"/>
    <n v="284"/>
    <n v="0"/>
    <n v="0"/>
    <x v="0"/>
  </r>
  <r>
    <s v="20251031-1-javadirect3"/>
    <x v="10"/>
    <x v="0"/>
    <s v="20251031-125746"/>
    <x v="0"/>
    <n v="12"/>
    <n v="272"/>
    <n v="53"/>
    <n v="4.2253521000000002E-2"/>
    <x v="0"/>
  </r>
  <r>
    <s v="20251029-1-java-opensources"/>
    <x v="11"/>
    <x v="1"/>
    <s v="20251029-125440"/>
    <x v="1"/>
    <n v="4"/>
    <n v="280"/>
    <n v="31"/>
    <n v="1.4084507E-2"/>
    <x v="0"/>
  </r>
  <r>
    <s v="20251029-1-java-opensources"/>
    <x v="11"/>
    <x v="1"/>
    <s v="20251029-132743"/>
    <x v="2"/>
    <n v="2"/>
    <n v="282"/>
    <n v="33"/>
    <n v="7.0422540000000004E-3"/>
    <x v="0"/>
  </r>
  <r>
    <s v="20251029-1-java-opensources"/>
    <x v="11"/>
    <x v="0"/>
    <s v="20251029-201841"/>
    <x v="1"/>
    <n v="9"/>
    <n v="275"/>
    <n v="117"/>
    <n v="3.1690140999999998E-2"/>
    <x v="0"/>
  </r>
  <r>
    <s v="20251029-1-java-opensources"/>
    <x v="11"/>
    <x v="0"/>
    <s v="20251029-210018"/>
    <x v="2"/>
    <n v="3"/>
    <n v="281"/>
    <n v="28"/>
    <n v="1.0563380000000001E-2"/>
    <x v="0"/>
  </r>
  <r>
    <s v="20251031-1-javadirect3"/>
    <x v="11"/>
    <x v="0"/>
    <s v="20251031-160932"/>
    <x v="0"/>
    <n v="4"/>
    <n v="280"/>
    <n v="37"/>
    <n v="1.4084507E-2"/>
    <x v="0"/>
  </r>
  <r>
    <s v="20251029-1-java-opensources"/>
    <x v="12"/>
    <x v="1"/>
    <s v="20251029-140305"/>
    <x v="1"/>
    <n v="13"/>
    <n v="271"/>
    <n v="95"/>
    <n v="4.5774648000000001E-2"/>
    <x v="0"/>
  </r>
  <r>
    <s v="20251029-1-java-opensources"/>
    <x v="12"/>
    <x v="1"/>
    <s v="20251029-145633"/>
    <x v="2"/>
    <n v="15"/>
    <n v="269"/>
    <n v="79"/>
    <n v="5.2816900999999999E-2"/>
    <x v="0"/>
  </r>
  <r>
    <s v="20251029-1-java-opensources"/>
    <x v="12"/>
    <x v="0"/>
    <s v="20251029-221104"/>
    <x v="1"/>
    <n v="15"/>
    <n v="269"/>
    <n v="87"/>
    <n v="5.2816900999999999E-2"/>
    <x v="0"/>
  </r>
  <r>
    <s v="20251029-1-java-opensources"/>
    <x v="12"/>
    <x v="0"/>
    <s v="20251029-224821"/>
    <x v="2"/>
    <n v="1"/>
    <n v="283"/>
    <n v="8"/>
    <n v="3.5211270000000002E-3"/>
    <x v="0"/>
  </r>
  <r>
    <s v="20251031-1-javadirect3"/>
    <x v="12"/>
    <x v="0"/>
    <s v="20251031-172120"/>
    <x v="0"/>
    <n v="14"/>
    <n v="270"/>
    <n v="37"/>
    <n v="4.9295775E-2"/>
    <x v="0"/>
  </r>
  <r>
    <s v="java-closesources"/>
    <x v="13"/>
    <x v="1"/>
    <s v="20251031-024913"/>
    <x v="1"/>
    <n v="18"/>
    <n v="266"/>
    <n v="81"/>
    <n v="6.3380281999999996E-2"/>
    <x v="1"/>
  </r>
  <r>
    <s v="java-closesources"/>
    <x v="13"/>
    <x v="1"/>
    <s v="20251031-035211"/>
    <x v="2"/>
    <n v="37"/>
    <n v="247"/>
    <n v="132"/>
    <n v="0.13028169000000001"/>
    <x v="1"/>
  </r>
  <r>
    <s v="java-closesources"/>
    <x v="13"/>
    <x v="0"/>
    <s v="20251031-043822"/>
    <x v="1"/>
    <n v="45"/>
    <n v="239"/>
    <n v="140"/>
    <n v="0.158450704"/>
    <x v="1"/>
  </r>
  <r>
    <s v="java-closesources"/>
    <x v="13"/>
    <x v="0"/>
    <s v="20251031-051204"/>
    <x v="2"/>
    <n v="27"/>
    <n v="257"/>
    <n v="81"/>
    <n v="9.5070423000000001E-2"/>
    <x v="1"/>
  </r>
  <r>
    <s v="java-closesources"/>
    <x v="13"/>
    <x v="0"/>
    <s v="20251031-055324"/>
    <x v="0"/>
    <n v="72"/>
    <n v="212"/>
    <n v="163"/>
    <n v="0.25352112700000001"/>
    <x v="1"/>
  </r>
  <r>
    <s v="java-closesources"/>
    <x v="14"/>
    <x v="1"/>
    <s v="20251031-170431"/>
    <x v="1"/>
    <n v="7"/>
    <n v="277"/>
    <n v="37"/>
    <n v="2.4647887E-2"/>
    <x v="1"/>
  </r>
  <r>
    <s v="java-closesources"/>
    <x v="14"/>
    <x v="1"/>
    <s v="20251031-171429"/>
    <x v="2"/>
    <n v="7"/>
    <n v="277"/>
    <n v="37"/>
    <n v="2.4647887E-2"/>
    <x v="1"/>
  </r>
  <r>
    <s v="java-closesources"/>
    <x v="14"/>
    <x v="0"/>
    <s v="20251031-172358"/>
    <x v="1"/>
    <n v="7"/>
    <n v="277"/>
    <n v="37"/>
    <n v="2.4647887E-2"/>
    <x v="1"/>
  </r>
  <r>
    <s v="java-closesources"/>
    <x v="14"/>
    <x v="0"/>
    <s v="20251031-173137"/>
    <x v="2"/>
    <n v="7"/>
    <n v="277"/>
    <n v="37"/>
    <n v="2.4647887E-2"/>
    <x v="1"/>
  </r>
  <r>
    <s v="java-closesources"/>
    <x v="14"/>
    <x v="0"/>
    <s v="20251031-173921"/>
    <x v="0"/>
    <n v="5"/>
    <n v="279"/>
    <n v="31"/>
    <n v="1.7605633999999998E-2"/>
    <x v="1"/>
  </r>
  <r>
    <s v="java-closesources"/>
    <x v="15"/>
    <x v="1"/>
    <s v="20251031-024108"/>
    <x v="1"/>
    <n v="15"/>
    <n v="269"/>
    <n v="82"/>
    <n v="5.2816900999999999E-2"/>
    <x v="1"/>
  </r>
  <r>
    <s v="java-closesources"/>
    <x v="15"/>
    <x v="1"/>
    <s v="20251031-052318"/>
    <x v="2"/>
    <n v="69"/>
    <n v="215"/>
    <n v="140"/>
    <n v="0.24295774647887325"/>
    <x v="1"/>
  </r>
  <r>
    <s v="java-closesources"/>
    <x v="15"/>
    <x v="0"/>
    <s v="20251031-075336"/>
    <x v="1"/>
    <n v="52"/>
    <n v="232"/>
    <n v="121"/>
    <n v="0.183098592"/>
    <x v="1"/>
  </r>
  <r>
    <s v="java-closesources"/>
    <x v="15"/>
    <x v="0"/>
    <s v="20251031-090500"/>
    <x v="2"/>
    <n v="75"/>
    <n v="209"/>
    <n v="156"/>
    <n v="0.26408450700000002"/>
    <x v="1"/>
  </r>
  <r>
    <s v="java-closesources"/>
    <x v="15"/>
    <x v="0"/>
    <s v="20251031-104145"/>
    <x v="0"/>
    <n v="130"/>
    <n v="154"/>
    <n v="256"/>
    <n v="0.4577464789999999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9A7867-7EB4-4154-93F7-00C356CD5F6D}" name="数据透视表14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compact="0" compactData="0" multipleFieldFilters="0">
  <location ref="A3:H23" firstHeaderRow="1" firstDataRow="3" firstDataCol="2"/>
  <pivotFields count="10">
    <pivotField compact="0" outline="0" showAll="0" defaultSubtotal="0"/>
    <pivotField axis="axisRow" compact="0" outline="0" showAll="0" defaultSubtota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5"/>
      </items>
    </pivotField>
    <pivotField axis="axisCol" compact="0" outline="0" showAll="0" defaultSubtotal="0">
      <items count="2">
        <item x="1"/>
        <item x="0"/>
      </items>
    </pivotField>
    <pivotField compact="0" outline="0" showAll="0" defaultSubtotal="0"/>
    <pivotField axis="axisCol" compact="0" outline="0" showAll="0" defaultSubtotal="0">
      <items count="3">
        <item x="1"/>
        <item x="2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defaultSubtotal="0">
      <items count="2">
        <item x="1"/>
        <item x="0"/>
      </items>
    </pivotField>
  </pivotFields>
  <rowFields count="2">
    <field x="9"/>
    <field x="1"/>
  </rowFields>
  <rowItems count="18">
    <i>
      <x/>
      <x v="14"/>
    </i>
    <i r="1">
      <x v="15"/>
    </i>
    <i r="1">
      <x v="16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t="grand">
      <x/>
    </i>
  </rowItems>
  <colFields count="2">
    <field x="4"/>
    <field x="2"/>
  </colFields>
  <colItems count="6">
    <i>
      <x/>
      <x/>
    </i>
    <i r="1">
      <x v="1"/>
    </i>
    <i>
      <x v="1"/>
      <x/>
    </i>
    <i r="1">
      <x v="1"/>
    </i>
    <i>
      <x v="2"/>
      <x v="1"/>
    </i>
    <i t="grand">
      <x/>
    </i>
  </colItems>
  <dataFields count="1">
    <dataField name="平均值项:score" fld="8" subtotal="average" baseField="1" baseItem="0" numFmtId="176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71BC9-4C7A-4699-A230-37164CD9BAB4}" name="数据透视表2" cacheId="4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A3:H22" firstHeaderRow="1" firstDataRow="3" firstDataCol="2"/>
  <pivotFields count="10">
    <pivotField compact="0" outline="0" showAll="0" defaultSubtotal="0"/>
    <pivotField axis="axisRow" compact="0" outline="0" showAll="0" defaultSubtotal="0">
      <items count="16">
        <item x="0"/>
        <item x="1"/>
        <item x="2"/>
        <item x="13"/>
        <item x="3"/>
        <item x="4"/>
        <item x="14"/>
        <item x="15"/>
        <item x="5"/>
        <item x="6"/>
        <item x="7"/>
        <item x="8"/>
        <item x="9"/>
        <item x="10"/>
        <item x="11"/>
        <item x="12"/>
      </items>
    </pivotField>
    <pivotField axis="axisCol" compact="0" outline="0" showAll="0" defaultSubtotal="0">
      <items count="2">
        <item x="1"/>
        <item x="0"/>
      </items>
    </pivotField>
    <pivotField compact="0" outline="0" showAll="0" defaultSubtotal="0"/>
    <pivotField axis="axisCol" compact="0" outline="0" showAll="0" defaultSubtotal="0">
      <items count="3">
        <item x="1"/>
        <item x="2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defaultSubtotal="0">
      <items count="2">
        <item x="1"/>
        <item x="0"/>
      </items>
    </pivotField>
  </pivotFields>
  <rowFields count="2">
    <field x="9"/>
    <field x="1"/>
  </rowFields>
  <rowItems count="17">
    <i>
      <x/>
      <x v="3"/>
    </i>
    <i r="1">
      <x v="6"/>
    </i>
    <i r="1">
      <x v="7"/>
    </i>
    <i>
      <x v="1"/>
      <x/>
    </i>
    <i r="1">
      <x v="1"/>
    </i>
    <i r="1">
      <x v="2"/>
    </i>
    <i r="1">
      <x v="4"/>
    </i>
    <i r="1">
      <x v="5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grand">
      <x/>
    </i>
  </rowItems>
  <colFields count="2">
    <field x="4"/>
    <field x="2"/>
  </colFields>
  <colItems count="6">
    <i>
      <x/>
      <x/>
    </i>
    <i r="1">
      <x v="1"/>
    </i>
    <i>
      <x v="1"/>
      <x/>
    </i>
    <i r="1">
      <x v="1"/>
    </i>
    <i>
      <x v="2"/>
      <x v="1"/>
    </i>
    <i t="grand">
      <x/>
    </i>
  </colItems>
  <dataFields count="1">
    <dataField name="平均值项:score" fld="8" subtotal="average" baseField="1" baseItem="3" numFmtId="176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6E32FB-7B83-4A28-815C-725CD79B10F9}" name="数据透视表10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6" indent="0" compact="0" compactData="0" multipleFieldFilters="0">
  <location ref="A3:H23" firstHeaderRow="1" firstDataRow="3" firstDataCol="2"/>
  <pivotFields count="10">
    <pivotField compact="0" outline="0" showAll="0" defaultSubtotal="0"/>
    <pivotField axis="axisRow" compact="0" outline="0" showAll="0" sortType="ascending" defaultSubtotal="0">
      <items count="17">
        <item x="0"/>
        <item x="1"/>
        <item x="2"/>
        <item x="3"/>
        <item x="14"/>
        <item x="6"/>
        <item x="7"/>
        <item x="15"/>
        <item x="16"/>
        <item x="8"/>
        <item x="9"/>
        <item x="10"/>
        <item x="11"/>
        <item x="4"/>
        <item x="5"/>
        <item x="12"/>
        <item x="13"/>
      </items>
    </pivotField>
    <pivotField axis="axisCol" compact="0" outline="0" showAll="0" defaultSubtotal="0">
      <items count="2">
        <item x="1"/>
        <item x="0"/>
      </items>
    </pivotField>
    <pivotField compact="0" outline="0" showAll="0" defaultSubtotal="0"/>
    <pivotField axis="axisCol" compact="0" outline="0" showAll="0" sortType="ascending" defaultSubtotal="0">
      <items count="3">
        <item x="1"/>
        <item x="2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axis="axisRow" compact="0" outline="0" subtotalTop="0" showAll="0" defaultSubtotal="0">
      <items count="2">
        <item x="1"/>
        <item x="0"/>
      </items>
    </pivotField>
  </pivotFields>
  <rowFields count="2">
    <field x="9"/>
    <field x="1"/>
  </rowFields>
  <rowItems count="18">
    <i>
      <x/>
      <x v="4"/>
    </i>
    <i r="1">
      <x v="7"/>
    </i>
    <i r="1">
      <x v="8"/>
    </i>
    <i>
      <x v="1"/>
      <x/>
    </i>
    <i r="1">
      <x v="1"/>
    </i>
    <i r="1">
      <x v="2"/>
    </i>
    <i r="1">
      <x v="3"/>
    </i>
    <i r="1">
      <x v="5"/>
    </i>
    <i r="1">
      <x v="6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grand">
      <x/>
    </i>
  </rowItems>
  <colFields count="2">
    <field x="4"/>
    <field x="2"/>
  </colFields>
  <colItems count="6">
    <i>
      <x/>
      <x/>
    </i>
    <i r="1">
      <x v="1"/>
    </i>
    <i>
      <x v="1"/>
      <x/>
    </i>
    <i r="1">
      <x v="1"/>
    </i>
    <i>
      <x v="2"/>
      <x v="1"/>
    </i>
    <i t="grand">
      <x/>
    </i>
  </colItems>
  <dataFields count="1">
    <dataField name="平均值项:score" fld="8" subtotal="average" baseField="1" baseItem="0"/>
  </dataFields>
  <formats count="2">
    <format dxfId="2">
      <pivotArea collapsedLevelsAreSubtotals="1" fieldPosition="0">
        <references count="1">
          <reference field="1" count="0"/>
        </references>
      </pivotArea>
    </format>
    <format dxfId="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C4221-6C2C-41BF-BB3E-B95EEBAA203F}">
  <dimension ref="A2:R24"/>
  <sheetViews>
    <sheetView tabSelected="1" workbookViewId="0">
      <selection activeCell="P23" sqref="P23"/>
    </sheetView>
  </sheetViews>
  <sheetFormatPr defaultRowHeight="13.8" x14ac:dyDescent="0.25"/>
  <cols>
    <col min="1" max="1" width="18.77734375" bestFit="1" customWidth="1"/>
    <col min="2" max="2" width="15.33203125" bestFit="1" customWidth="1"/>
    <col min="3" max="3" width="11" bestFit="1" customWidth="1"/>
    <col min="4" max="4" width="15.33203125" bestFit="1" customWidth="1"/>
    <col min="5" max="5" width="11" bestFit="1" customWidth="1"/>
    <col min="6" max="6" width="7.33203125" bestFit="1" customWidth="1"/>
    <col min="11" max="11" width="16.44140625" bestFit="1" customWidth="1"/>
  </cols>
  <sheetData>
    <row r="2" spans="1:18" x14ac:dyDescent="0.25">
      <c r="A2" t="s">
        <v>75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  <c r="G2" t="s">
        <v>81</v>
      </c>
    </row>
    <row r="3" spans="1:18" x14ac:dyDescent="0.25">
      <c r="A3" s="4" t="s">
        <v>82</v>
      </c>
      <c r="B3" s="4"/>
      <c r="C3" s="4"/>
      <c r="D3" s="4"/>
      <c r="E3" s="4"/>
      <c r="F3" s="4"/>
      <c r="G3" s="4"/>
    </row>
    <row r="4" spans="1:18" x14ac:dyDescent="0.25">
      <c r="A4" s="2" t="s">
        <v>83</v>
      </c>
      <c r="B4" s="2">
        <f>Calculation!B26</f>
        <v>7.2769953154929526E-2</v>
      </c>
      <c r="C4" s="2">
        <f>Calculation!C26</f>
        <v>0.166666666591549</v>
      </c>
      <c r="D4" s="2">
        <f>Calculation!D26</f>
        <v>0.13615023469483534</v>
      </c>
      <c r="E4" s="2">
        <f>Calculation!E26</f>
        <v>0.14788732409859134</v>
      </c>
      <c r="F4" s="2">
        <f>Calculation!F26</f>
        <v>0.25117370899999969</v>
      </c>
      <c r="G4" s="2">
        <f>Calculation!G26</f>
        <v>0.15492957750798098</v>
      </c>
      <c r="K4" t="s">
        <v>267</v>
      </c>
      <c r="L4" s="2">
        <f>Calculation!L27</f>
        <v>7.7464788732394305E-2</v>
      </c>
      <c r="M4" s="2">
        <f>Calculation!M27</f>
        <v>6.3380281999999996E-2</v>
      </c>
      <c r="N4" s="2">
        <f>Calculation!N27</f>
        <v>7.7464788732394305E-2</v>
      </c>
      <c r="O4" s="2">
        <f>Calculation!O27</f>
        <v>0.19718309859154901</v>
      </c>
      <c r="P4" s="2">
        <f>Calculation!P27</f>
        <v>0.158450704</v>
      </c>
      <c r="Q4" s="2">
        <f>Calculation!Q27</f>
        <v>0.14436619718309801</v>
      </c>
      <c r="R4" s="2">
        <f>Calculation!R27</f>
        <v>0.11971830987323928</v>
      </c>
    </row>
    <row r="5" spans="1:18" x14ac:dyDescent="0.25">
      <c r="A5" s="2" t="s">
        <v>84</v>
      </c>
      <c r="B5" s="2">
        <f>Calculation!B27</f>
        <v>2.4647887215962404E-2</v>
      </c>
      <c r="C5" s="2">
        <f>Calculation!C27</f>
        <v>2.3474178295774601E-2</v>
      </c>
      <c r="D5" s="2">
        <f>Calculation!D27</f>
        <v>2.4647887215962404E-2</v>
      </c>
      <c r="E5" s="2">
        <f>Calculation!E27</f>
        <v>2.4647887215962404E-2</v>
      </c>
      <c r="F5" s="2">
        <f>Calculation!F27</f>
        <v>3.8732394431924833E-2</v>
      </c>
      <c r="G5" s="2">
        <f>Calculation!G27</f>
        <v>2.723004687511733E-2</v>
      </c>
      <c r="K5" s="2" t="s">
        <v>84</v>
      </c>
      <c r="L5" s="2">
        <f>Calculation!L28</f>
        <v>2.4647887323943601E-2</v>
      </c>
      <c r="M5" s="2">
        <f>Calculation!M28</f>
        <v>2.4647887E-2</v>
      </c>
      <c r="N5" s="2">
        <f>Calculation!N28</f>
        <v>2.4647887323943601E-2</v>
      </c>
      <c r="O5" s="2">
        <f>Calculation!O28</f>
        <v>2.4647887323943601E-2</v>
      </c>
      <c r="P5" s="2">
        <f>Calculation!P28</f>
        <v>2.4647887E-2</v>
      </c>
      <c r="Q5" s="2">
        <f>Calculation!Q28</f>
        <v>2.1126760563380202E-2</v>
      </c>
      <c r="R5" s="2">
        <f>Calculation!R28</f>
        <v>2.4061032755868503E-2</v>
      </c>
    </row>
    <row r="6" spans="1:18" x14ac:dyDescent="0.25">
      <c r="A6" s="2" t="s">
        <v>85</v>
      </c>
      <c r="B6" s="2">
        <f>Calculation!B28</f>
        <v>0.12558685432394334</v>
      </c>
      <c r="C6" s="2">
        <f>Calculation!C28</f>
        <v>0.23122065742722966</v>
      </c>
      <c r="D6" s="2">
        <f>Calculation!D28</f>
        <v>0.34624413145539878</v>
      </c>
      <c r="E6" s="2">
        <f>Calculation!E28</f>
        <v>0.33215962439906072</v>
      </c>
      <c r="F6" s="2">
        <f>Calculation!F28</f>
        <v>0.44600938971361465</v>
      </c>
      <c r="G6" s="2">
        <f>Calculation!G28</f>
        <v>0.29624413146384942</v>
      </c>
      <c r="K6" s="2" t="s">
        <v>85</v>
      </c>
      <c r="L6" s="2">
        <f>Calculation!L29</f>
        <v>0.161971830985915</v>
      </c>
      <c r="M6" s="2">
        <f>Calculation!M29</f>
        <v>5.2816900999999999E-2</v>
      </c>
      <c r="N6" s="2">
        <f>Calculation!N29</f>
        <v>0.161971830985915</v>
      </c>
      <c r="O6" s="2">
        <f>Calculation!O29</f>
        <v>0.27112676056337998</v>
      </c>
      <c r="P6" s="2">
        <f>Calculation!P29</f>
        <v>0.183098592</v>
      </c>
      <c r="Q6" s="2">
        <f>Calculation!Q29</f>
        <v>0.23943661971830901</v>
      </c>
      <c r="R6" s="2">
        <f>Calculation!R29</f>
        <v>0.17840375587558652</v>
      </c>
    </row>
    <row r="7" spans="1:18" x14ac:dyDescent="0.25">
      <c r="A7" s="5" t="s">
        <v>86</v>
      </c>
      <c r="B7" s="5"/>
      <c r="C7" s="5"/>
      <c r="D7" s="5"/>
      <c r="E7" s="5"/>
      <c r="F7" s="5"/>
      <c r="G7" s="5"/>
      <c r="L7" s="2"/>
      <c r="M7" s="2"/>
      <c r="N7" s="2"/>
      <c r="O7" s="2"/>
      <c r="P7" s="2"/>
      <c r="Q7" s="2"/>
      <c r="R7" s="2"/>
    </row>
    <row r="8" spans="1:18" x14ac:dyDescent="0.25">
      <c r="A8" s="2" t="s">
        <v>88</v>
      </c>
      <c r="B8" s="2">
        <f>Calculation!B34</f>
        <v>2.9342723150234732E-2</v>
      </c>
      <c r="C8" s="2">
        <f>Calculation!C34</f>
        <v>3.0516432070422501E-2</v>
      </c>
      <c r="D8" s="2">
        <f>Calculation!D34</f>
        <v>5.8685446807511601E-3</v>
      </c>
      <c r="E8" s="2">
        <f>Calculation!E34</f>
        <v>1.6431924774647867E-2</v>
      </c>
      <c r="F8" s="2">
        <f>Calculation!F34</f>
        <v>7.1596244117370741E-2</v>
      </c>
      <c r="G8" s="2">
        <f>Calculation!G34</f>
        <v>3.0751173758685402E-2</v>
      </c>
      <c r="K8" s="2" t="str">
        <f>Calculation!K30</f>
        <v>Gemma-3-12B</v>
      </c>
      <c r="L8" s="2">
        <f>Calculation!L30</f>
        <v>3.1690140845070401E-2</v>
      </c>
      <c r="M8" s="2">
        <f>Calculation!M30</f>
        <v>2.1126761000000001E-2</v>
      </c>
      <c r="N8" s="2">
        <f>Calculation!N30</f>
        <v>3.5211267605633798E-2</v>
      </c>
      <c r="O8" s="2">
        <f>Calculation!O30</f>
        <v>1.0563380281690101E-2</v>
      </c>
      <c r="P8" s="2">
        <f>Calculation!P30</f>
        <v>2.1126761000000001E-2</v>
      </c>
      <c r="Q8" s="2">
        <f>Calculation!Q30</f>
        <v>5.9859154929577399E-2</v>
      </c>
      <c r="R8" s="2">
        <f>Calculation!R30</f>
        <v>2.9929577610328616E-2</v>
      </c>
    </row>
    <row r="9" spans="1:18" x14ac:dyDescent="0.25">
      <c r="A9" s="2" t="s">
        <v>89</v>
      </c>
      <c r="B9" s="2">
        <f>Calculation!B35</f>
        <v>3.7558685417840361E-2</v>
      </c>
      <c r="C9" s="2">
        <f>Calculation!C35</f>
        <v>3.0516431990610299E-2</v>
      </c>
      <c r="D9" s="2">
        <f>Calculation!D35</f>
        <v>2.6995305215962429E-2</v>
      </c>
      <c r="E9" s="2">
        <f>Calculation!E35</f>
        <v>3.1690140882629066E-2</v>
      </c>
      <c r="F9" s="2">
        <f>Calculation!F35</f>
        <v>0.10563380266666633</v>
      </c>
      <c r="G9" s="2">
        <f>Calculation!G35</f>
        <v>4.6478873234741695E-2</v>
      </c>
      <c r="K9" s="2" t="str">
        <f>Calculation!K31</f>
        <v>Gemma-3-27B</v>
      </c>
      <c r="L9" s="2">
        <f>Calculation!L31</f>
        <v>1.4084507042253501E-2</v>
      </c>
      <c r="M9" s="2">
        <f>Calculation!M31</f>
        <v>2.8169013999999999E-2</v>
      </c>
      <c r="N9" s="2">
        <f>Calculation!N31</f>
        <v>7.0422535211267595E-2</v>
      </c>
      <c r="O9" s="2">
        <f>Calculation!O31</f>
        <v>2.4647887323943601E-2</v>
      </c>
      <c r="P9" s="2">
        <f>Calculation!P31</f>
        <v>1.7605633999999998E-2</v>
      </c>
      <c r="Q9" s="2">
        <f>Calculation!Q31</f>
        <v>4.92957746478873E-2</v>
      </c>
      <c r="R9" s="2">
        <f>Calculation!R31</f>
        <v>3.4037558704225333E-2</v>
      </c>
    </row>
    <row r="10" spans="1:18" x14ac:dyDescent="0.25">
      <c r="A10" s="2" t="s">
        <v>87</v>
      </c>
      <c r="B10" s="2">
        <f>Calculation!B36</f>
        <v>4.8122065779342665E-2</v>
      </c>
      <c r="C10" s="2">
        <f>Calculation!C36</f>
        <v>7.5117370995304897E-2</v>
      </c>
      <c r="D10" s="2">
        <f>Calculation!D36</f>
        <v>5.6338028258215933E-2</v>
      </c>
      <c r="E10" s="2">
        <f>Calculation!E36</f>
        <v>6.2206572619718264E-2</v>
      </c>
      <c r="F10" s="2">
        <f>Calculation!F36</f>
        <v>0.10446009389201856</v>
      </c>
      <c r="G10" s="2">
        <f>Calculation!G36</f>
        <v>6.924882630892007E-2</v>
      </c>
      <c r="K10" s="2" t="str">
        <f>Calculation!K32</f>
        <v>GPT-oss-20B</v>
      </c>
      <c r="L10" s="2">
        <f>Calculation!L32</f>
        <v>5.6338028169014003E-2</v>
      </c>
      <c r="M10" s="2">
        <f>Calculation!M32</f>
        <v>3.1690140999999998E-2</v>
      </c>
      <c r="N10" s="2">
        <f>Calculation!N32</f>
        <v>5.6338028169014003E-2</v>
      </c>
      <c r="O10" s="2">
        <f>Calculation!O32</f>
        <v>5.2816901408450703E-2</v>
      </c>
      <c r="P10" s="2">
        <f>Calculation!P32</f>
        <v>6.3380281999999996E-2</v>
      </c>
      <c r="Q10" s="2">
        <f>Calculation!Q32</f>
        <v>0.109154929577464</v>
      </c>
      <c r="R10" s="2">
        <f>Calculation!R32</f>
        <v>6.1619718387323795E-2</v>
      </c>
    </row>
    <row r="11" spans="1:18" x14ac:dyDescent="0.25">
      <c r="A11" s="2" t="s">
        <v>93</v>
      </c>
      <c r="B11" s="2">
        <f>Calculation!B37</f>
        <v>8.2159626009389603E-3</v>
      </c>
      <c r="C11" s="2">
        <f>Calculation!C37</f>
        <v>2.347418E-3</v>
      </c>
      <c r="D11" s="2">
        <f>Calculation!D37</f>
        <v>1.173708936150232E-2</v>
      </c>
      <c r="E11" s="2">
        <f>Calculation!E37</f>
        <v>7.0422536009389601E-3</v>
      </c>
      <c r="F11" s="2">
        <f>Calculation!F37</f>
        <v>3.5211269201877934E-3</v>
      </c>
      <c r="G11" s="2">
        <f>Calculation!G37</f>
        <v>6.5727700967136062E-3</v>
      </c>
      <c r="K11" s="2" t="str">
        <f>Calculation!K33</f>
        <v>Llama3.1-8B</v>
      </c>
      <c r="L11" s="2">
        <f>Calculation!L33</f>
        <v>1.4084507042253501E-2</v>
      </c>
      <c r="M11" s="2">
        <f>Calculation!M33</f>
        <v>7.0422540000000004E-3</v>
      </c>
      <c r="N11" s="2">
        <f>Calculation!N33</f>
        <v>3.5211267605633799E-3</v>
      </c>
      <c r="O11" s="2">
        <f>Calculation!O33</f>
        <v>0</v>
      </c>
      <c r="P11" s="2">
        <f>Calculation!P33</f>
        <v>7.0422540000000004E-3</v>
      </c>
      <c r="Q11" s="2">
        <f>Calculation!Q33</f>
        <v>0</v>
      </c>
      <c r="R11" s="2">
        <f>Calculation!R33</f>
        <v>5.2816903004694804E-3</v>
      </c>
    </row>
    <row r="12" spans="1:18" x14ac:dyDescent="0.25">
      <c r="A12" s="2" t="s">
        <v>92</v>
      </c>
      <c r="B12" s="2">
        <f>Calculation!B38</f>
        <v>4.6948356887323871E-2</v>
      </c>
      <c r="C12" s="2">
        <f>Calculation!C38</f>
        <v>7.8638497652582004E-2</v>
      </c>
      <c r="D12" s="2">
        <f>Calculation!D38</f>
        <v>4.5774647967135963E-2</v>
      </c>
      <c r="E12" s="2">
        <f>Calculation!E38</f>
        <v>7.8638497718309622E-2</v>
      </c>
      <c r="F12" s="2">
        <f>Calculation!F38</f>
        <v>8.098591561032846E-2</v>
      </c>
      <c r="G12" s="2">
        <f>Calculation!G38</f>
        <v>6.6197183167135992E-2</v>
      </c>
      <c r="K12" s="2" t="str">
        <f>Calculation!K34</f>
        <v>Llama3.3-70B</v>
      </c>
      <c r="L12" s="2">
        <f>Calculation!L34</f>
        <v>2.4647887323943601E-2</v>
      </c>
      <c r="M12" s="2">
        <f>Calculation!M34</f>
        <v>3.5211270000000002E-3</v>
      </c>
      <c r="N12" s="2">
        <f>Calculation!N34</f>
        <v>0.11267605633802801</v>
      </c>
      <c r="O12" s="2">
        <f>Calculation!O34</f>
        <v>0.102112676056338</v>
      </c>
      <c r="P12" s="2">
        <f>Calculation!P34</f>
        <v>0</v>
      </c>
      <c r="Q12" s="2">
        <f>Calculation!Q34</f>
        <v>0.13380281690140799</v>
      </c>
      <c r="R12" s="2">
        <f>Calculation!R34</f>
        <v>6.2793427269952934E-2</v>
      </c>
    </row>
    <row r="13" spans="1:18" x14ac:dyDescent="0.25">
      <c r="A13" s="2" t="s">
        <v>94</v>
      </c>
      <c r="B13" s="2">
        <f>Calculation!B39</f>
        <v>2.1126760469483568E-2</v>
      </c>
      <c r="C13" s="2">
        <f>Calculation!C39</f>
        <v>6.57276996478873E-2</v>
      </c>
      <c r="D13" s="2">
        <f>Calculation!D39</f>
        <v>3.0516431830985898E-2</v>
      </c>
      <c r="E13" s="2">
        <f>Calculation!E39</f>
        <v>6.2206572661971736E-2</v>
      </c>
      <c r="F13" s="2">
        <f>Calculation!F39</f>
        <v>8.9201877826290674E-2</v>
      </c>
      <c r="G13" s="2">
        <f>Calculation!G39</f>
        <v>5.3755868487323832E-2</v>
      </c>
      <c r="K13" s="2" t="str">
        <f>Calculation!K35</f>
        <v>Phi4-14B</v>
      </c>
      <c r="L13" s="2">
        <f>Calculation!L35</f>
        <v>0</v>
      </c>
      <c r="M13" s="2">
        <f>Calculation!M35</f>
        <v>1.0563380000000001E-2</v>
      </c>
      <c r="N13" s="2">
        <f>Calculation!N35</f>
        <v>5.2816901408450703E-2</v>
      </c>
      <c r="O13" s="2">
        <f>Calculation!O35</f>
        <v>4.92957746478873E-2</v>
      </c>
      <c r="P13" s="2">
        <f>Calculation!P35</f>
        <v>4.9295775E-2</v>
      </c>
      <c r="Q13" s="2">
        <f>Calculation!Q35</f>
        <v>9.85915492957746E-2</v>
      </c>
      <c r="R13" s="2">
        <f>Calculation!R35</f>
        <v>4.3427230058685429E-2</v>
      </c>
    </row>
    <row r="14" spans="1:18" x14ac:dyDescent="0.25">
      <c r="A14" s="2" t="s">
        <v>90</v>
      </c>
      <c r="B14" s="2">
        <f>Calculation!B42</f>
        <v>2.2300469469483566E-2</v>
      </c>
      <c r="C14" s="2">
        <f>Calculation!C42</f>
        <v>2.8169014136150205E-2</v>
      </c>
      <c r="D14" s="2">
        <f>Calculation!D42</f>
        <v>1.8779342882629068E-2</v>
      </c>
      <c r="E14" s="2">
        <f>Calculation!E42</f>
        <v>1.6431924788732389E-2</v>
      </c>
      <c r="F14" s="2">
        <f>Calculation!F42</f>
        <v>3.05164319107981E-2</v>
      </c>
      <c r="G14" s="2">
        <f>Calculation!G42</f>
        <v>2.3239436637558668E-2</v>
      </c>
      <c r="K14" s="2" t="str">
        <f>Calculation!K36</f>
        <v>Qwen3-14B</v>
      </c>
      <c r="L14" s="2">
        <f>Calculation!L36</f>
        <v>0</v>
      </c>
      <c r="M14" s="2">
        <f>Calculation!M36</f>
        <v>1.4084507E-2</v>
      </c>
      <c r="N14" s="2">
        <f>Calculation!N36</f>
        <v>5.2816901408450703E-2</v>
      </c>
      <c r="O14" s="2">
        <f>Calculation!O36</f>
        <v>2.1126760563380202E-2</v>
      </c>
      <c r="P14" s="2">
        <f>Calculation!P36</f>
        <v>3.1690140999999998E-2</v>
      </c>
      <c r="Q14" s="2">
        <f>Calculation!Q36</f>
        <v>3.1690140845070401E-2</v>
      </c>
      <c r="R14" s="2">
        <f>Calculation!R36</f>
        <v>2.5234741802816884E-2</v>
      </c>
    </row>
    <row r="15" spans="1:18" x14ac:dyDescent="0.25">
      <c r="A15" s="2" t="s">
        <v>91</v>
      </c>
      <c r="B15" s="2">
        <f>Calculation!B43</f>
        <v>4.6948356845070399E-2</v>
      </c>
      <c r="C15" s="2">
        <f>Calculation!C43</f>
        <v>3.9906103150234705E-2</v>
      </c>
      <c r="D15" s="2">
        <f>Calculation!D43</f>
        <v>7.0422535075117365E-2</v>
      </c>
      <c r="E15" s="2">
        <f>Calculation!E43</f>
        <v>4.225352120657274E-2</v>
      </c>
      <c r="F15" s="2">
        <f>Calculation!F43</f>
        <v>9.2723004812206453E-2</v>
      </c>
      <c r="G15" s="2">
        <f>Calculation!G43</f>
        <v>5.8450704217840335E-2</v>
      </c>
      <c r="K15" s="2" t="str">
        <f>Calculation!K37</f>
        <v>Qwen3-30B</v>
      </c>
      <c r="L15" s="2">
        <f>Calculation!L37</f>
        <v>4.5774647887323897E-2</v>
      </c>
      <c r="M15" s="2">
        <f>Calculation!M37</f>
        <v>4.5774648000000001E-2</v>
      </c>
      <c r="N15" s="2">
        <f>Calculation!N37</f>
        <v>4.92957746478873E-2</v>
      </c>
      <c r="O15" s="2">
        <f>Calculation!O37</f>
        <v>3.8732394366197097E-2</v>
      </c>
      <c r="P15" s="2">
        <f>Calculation!P37</f>
        <v>5.2816900999999999E-2</v>
      </c>
      <c r="Q15" s="2">
        <f>Calculation!Q37</f>
        <v>2.8169014084507001E-2</v>
      </c>
      <c r="R15" s="2">
        <f>Calculation!R37</f>
        <v>4.3427229997652549E-2</v>
      </c>
    </row>
    <row r="16" spans="1:18" x14ac:dyDescent="0.25">
      <c r="A16" s="5" t="s">
        <v>95</v>
      </c>
      <c r="B16" s="5"/>
      <c r="C16" s="5"/>
      <c r="D16" s="5"/>
      <c r="E16" s="5"/>
      <c r="F16" s="5"/>
      <c r="G16" s="5"/>
      <c r="K16" t="str">
        <f>Calculation!K38</f>
        <v>All Avg.</v>
      </c>
      <c r="L16" s="2">
        <f>Calculation!L38</f>
        <v>4.0973111395646522E-2</v>
      </c>
      <c r="M16" s="2">
        <f>Calculation!M38</f>
        <v>2.7528809272727273E-2</v>
      </c>
      <c r="N16" s="2">
        <f>Calculation!N38</f>
        <v>6.3380281690140775E-2</v>
      </c>
      <c r="O16" s="2">
        <f>Calculation!O38</f>
        <v>7.2023047375159979E-2</v>
      </c>
      <c r="P16" s="2">
        <f>Calculation!P38</f>
        <v>5.5377721000000005E-2</v>
      </c>
      <c r="Q16" s="2">
        <f>Calculation!Q38</f>
        <v>8.3226632522406904E-2</v>
      </c>
      <c r="R16" s="2">
        <f>Calculation!R38</f>
        <v>5.7084933876013572E-2</v>
      </c>
    </row>
    <row r="17" spans="1:7" x14ac:dyDescent="0.25">
      <c r="A17" s="2" t="s">
        <v>98</v>
      </c>
      <c r="B17" s="2" t="s">
        <v>266</v>
      </c>
      <c r="C17" s="2" t="s">
        <v>266</v>
      </c>
      <c r="D17" s="2" t="s">
        <v>266</v>
      </c>
      <c r="E17" s="2" t="s">
        <v>266</v>
      </c>
      <c r="F17" s="2">
        <f>Calculation!F29</f>
        <v>7.0422536807511595E-3</v>
      </c>
      <c r="G17" s="2" t="s">
        <v>266</v>
      </c>
    </row>
    <row r="18" spans="1:7" x14ac:dyDescent="0.25">
      <c r="A18" s="2" t="s">
        <v>99</v>
      </c>
      <c r="B18" s="2" t="s">
        <v>266</v>
      </c>
      <c r="C18" s="2" t="s">
        <v>266</v>
      </c>
      <c r="D18" s="2" t="s">
        <v>266</v>
      </c>
      <c r="E18" s="2" t="s">
        <v>266</v>
      </c>
      <c r="F18" s="2">
        <f>Calculation!F30</f>
        <v>0</v>
      </c>
      <c r="G18" s="2" t="s">
        <v>266</v>
      </c>
    </row>
    <row r="19" spans="1:7" x14ac:dyDescent="0.25">
      <c r="A19" s="2" t="s">
        <v>100</v>
      </c>
      <c r="B19" s="2" t="s">
        <v>266</v>
      </c>
      <c r="C19" s="2" t="s">
        <v>266</v>
      </c>
      <c r="D19" s="2" t="s">
        <v>266</v>
      </c>
      <c r="E19" s="2" t="s">
        <v>266</v>
      </c>
      <c r="F19" s="2">
        <f>Calculation!F31</f>
        <v>0</v>
      </c>
      <c r="G19" s="2" t="s">
        <v>266</v>
      </c>
    </row>
    <row r="20" spans="1:7" x14ac:dyDescent="0.25">
      <c r="A20" s="2" t="s">
        <v>102</v>
      </c>
      <c r="B20" s="2" t="s">
        <v>266</v>
      </c>
      <c r="C20" s="2" t="s">
        <v>266</v>
      </c>
      <c r="D20" s="2" t="s">
        <v>266</v>
      </c>
      <c r="E20" s="2" t="s">
        <v>266</v>
      </c>
      <c r="F20" s="2">
        <f>Calculation!F32</f>
        <v>2.5821596309859137E-2</v>
      </c>
      <c r="G20" s="2" t="s">
        <v>266</v>
      </c>
    </row>
    <row r="21" spans="1:7" x14ac:dyDescent="0.25">
      <c r="A21" s="2" t="s">
        <v>101</v>
      </c>
      <c r="B21" s="2" t="s">
        <v>266</v>
      </c>
      <c r="C21" s="2" t="s">
        <v>266</v>
      </c>
      <c r="D21" s="2" t="s">
        <v>266</v>
      </c>
      <c r="E21" s="2" t="s">
        <v>266</v>
      </c>
      <c r="F21" s="2">
        <f>Calculation!F33</f>
        <v>9.3896714413145271E-3</v>
      </c>
      <c r="G21" s="2" t="s">
        <v>266</v>
      </c>
    </row>
    <row r="22" spans="1:7" x14ac:dyDescent="0.25">
      <c r="A22" s="2" t="s">
        <v>96</v>
      </c>
      <c r="B22" s="2" t="s">
        <v>266</v>
      </c>
      <c r="C22" s="2" t="s">
        <v>266</v>
      </c>
      <c r="D22" s="2" t="s">
        <v>266</v>
      </c>
      <c r="E22" s="2" t="s">
        <v>266</v>
      </c>
      <c r="F22" s="2">
        <f>Calculation!F40</f>
        <v>3.0516431924882625E-2</v>
      </c>
      <c r="G22" s="2" t="s">
        <v>266</v>
      </c>
    </row>
    <row r="23" spans="1:7" x14ac:dyDescent="0.25">
      <c r="A23" s="2" t="s">
        <v>97</v>
      </c>
      <c r="B23" s="2" t="s">
        <v>266</v>
      </c>
      <c r="C23" s="2" t="s">
        <v>266</v>
      </c>
      <c r="D23" s="2" t="s">
        <v>266</v>
      </c>
      <c r="E23" s="2" t="s">
        <v>266</v>
      </c>
      <c r="F23" s="2">
        <f>Calculation!F41</f>
        <v>7.5117370849765233E-2</v>
      </c>
      <c r="G23" s="2" t="s">
        <v>266</v>
      </c>
    </row>
    <row r="24" spans="1:7" x14ac:dyDescent="0.25">
      <c r="A24" s="2" t="s">
        <v>265</v>
      </c>
      <c r="B24" s="2">
        <f>Calculation!B44</f>
        <v>4.3960734119504859E-2</v>
      </c>
      <c r="C24" s="2">
        <f>Calculation!C44</f>
        <v>7.0209133632522291E-2</v>
      </c>
      <c r="D24" s="2">
        <f>Calculation!D44</f>
        <v>7.0315834421681489E-2</v>
      </c>
      <c r="E24" s="2">
        <f>Calculation!E44</f>
        <v>7.4690567633375921E-2</v>
      </c>
      <c r="F24" s="2">
        <f>Calculation!F44</f>
        <v>8.1246739728221065E-2</v>
      </c>
      <c r="G24" s="2">
        <f>Calculation!G44</f>
        <v>4.7926447588732324E-2</v>
      </c>
    </row>
  </sheetData>
  <sortState xmlns:xlrd2="http://schemas.microsoft.com/office/spreadsheetml/2017/richdata2" ref="A17:A23">
    <sortCondition ref="A17:A23"/>
  </sortState>
  <mergeCells count="3">
    <mergeCell ref="A3:G3"/>
    <mergeCell ref="A7:G7"/>
    <mergeCell ref="A16:G1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4A9B7-B0DA-4023-BA64-146541D094C7}">
  <dimension ref="A1:T44"/>
  <sheetViews>
    <sheetView topLeftCell="A4" workbookViewId="0">
      <selection activeCell="B44" sqref="B44"/>
    </sheetView>
  </sheetViews>
  <sheetFormatPr defaultRowHeight="13.8" x14ac:dyDescent="0.25"/>
  <cols>
    <col min="1" max="1" width="18.109375" bestFit="1" customWidth="1"/>
    <col min="8" max="8" width="20.6640625" bestFit="1" customWidth="1"/>
    <col min="11" max="11" width="19.21875" bestFit="1" customWidth="1"/>
    <col min="12" max="12" width="18.109375" bestFit="1" customWidth="1"/>
    <col min="13" max="13" width="18" customWidth="1"/>
    <col min="14" max="14" width="19.88671875" customWidth="1"/>
    <col min="15" max="15" width="27.33203125" bestFit="1" customWidth="1"/>
  </cols>
  <sheetData>
    <row r="1" spans="1:20" x14ac:dyDescent="0.25">
      <c r="A1" t="s">
        <v>152</v>
      </c>
      <c r="B1">
        <v>1</v>
      </c>
      <c r="C1">
        <v>1</v>
      </c>
      <c r="D1">
        <v>2</v>
      </c>
      <c r="E1">
        <v>2</v>
      </c>
      <c r="F1">
        <v>3</v>
      </c>
      <c r="H1" t="s">
        <v>264</v>
      </c>
      <c r="I1">
        <v>1</v>
      </c>
      <c r="J1">
        <v>1</v>
      </c>
      <c r="K1">
        <v>2</v>
      </c>
      <c r="L1">
        <v>2</v>
      </c>
      <c r="M1">
        <v>3</v>
      </c>
      <c r="O1" t="s">
        <v>153</v>
      </c>
      <c r="P1">
        <v>1</v>
      </c>
      <c r="Q1">
        <v>1</v>
      </c>
      <c r="R1">
        <v>2</v>
      </c>
      <c r="S1">
        <v>2</v>
      </c>
      <c r="T1">
        <v>3</v>
      </c>
    </row>
    <row r="2" spans="1:20" x14ac:dyDescent="0.25">
      <c r="A2" t="s">
        <v>1</v>
      </c>
      <c r="B2" t="s">
        <v>15</v>
      </c>
      <c r="C2" t="s">
        <v>11</v>
      </c>
      <c r="D2" t="s">
        <v>15</v>
      </c>
      <c r="E2" t="s">
        <v>11</v>
      </c>
      <c r="F2" t="s">
        <v>11</v>
      </c>
      <c r="H2" t="s">
        <v>1</v>
      </c>
      <c r="I2" t="s">
        <v>15</v>
      </c>
      <c r="J2" t="s">
        <v>11</v>
      </c>
      <c r="K2" t="s">
        <v>15</v>
      </c>
      <c r="L2" t="s">
        <v>11</v>
      </c>
      <c r="M2" t="s">
        <v>11</v>
      </c>
      <c r="O2" t="str">
        <f>'JavaScript Pivot'!B5</f>
        <v>model</v>
      </c>
      <c r="P2" t="str">
        <f>'JavaScript Pivot'!C5</f>
        <v>cascade</v>
      </c>
      <c r="Q2" t="str">
        <f>'JavaScript Pivot'!D5</f>
        <v>direct</v>
      </c>
      <c r="R2" t="str">
        <f>'JavaScript Pivot'!E5</f>
        <v>cascade</v>
      </c>
      <c r="S2" t="str">
        <f>'JavaScript Pivot'!F5</f>
        <v>direct</v>
      </c>
      <c r="T2" t="str">
        <f>'JavaScript Pivot'!G5</f>
        <v>direct</v>
      </c>
    </row>
    <row r="3" spans="1:20" x14ac:dyDescent="0.25">
      <c r="A3" t="str">
        <f>'Python Pivot'!B6</f>
        <v>gemini-2.5-flash</v>
      </c>
      <c r="B3">
        <f>'Python Pivot'!C6</f>
        <v>7.7464788732394305E-2</v>
      </c>
      <c r="C3">
        <f>'Python Pivot'!D6</f>
        <v>0.19718309859154901</v>
      </c>
      <c r="D3">
        <f>'Python Pivot'!E6</f>
        <v>0.12676056338028099</v>
      </c>
      <c r="E3">
        <f>'Python Pivot'!F6</f>
        <v>0.190140845070422</v>
      </c>
      <c r="F3">
        <f>'Python Pivot'!G6</f>
        <v>0.183098591549295</v>
      </c>
      <c r="H3" t="str">
        <f>'Java Pivot'!B6</f>
        <v>gemini-2.5-flash</v>
      </c>
      <c r="I3">
        <f>'Java Pivot'!C6</f>
        <v>6.3380281999999996E-2</v>
      </c>
      <c r="J3">
        <f>'Java Pivot'!D6</f>
        <v>0.158450704</v>
      </c>
      <c r="K3">
        <f>'Java Pivot'!E6</f>
        <v>0.13028169000000001</v>
      </c>
      <c r="L3">
        <f>'Java Pivot'!F6</f>
        <v>9.5070423000000001E-2</v>
      </c>
      <c r="M3">
        <f>'Java Pivot'!G6</f>
        <v>0.25352112700000001</v>
      </c>
      <c r="O3" t="str">
        <f>'JavaScript Pivot'!B6</f>
        <v>gemini-2.5-flash</v>
      </c>
      <c r="P3">
        <f>'JavaScript Pivot'!C6</f>
        <v>7.7464788732394305E-2</v>
      </c>
      <c r="Q3">
        <f>'JavaScript Pivot'!D6</f>
        <v>0.14436619718309801</v>
      </c>
      <c r="R3">
        <f>'JavaScript Pivot'!E6</f>
        <v>0.15140845070422501</v>
      </c>
      <c r="S3">
        <f>'JavaScript Pivot'!F6</f>
        <v>0.15845070422535201</v>
      </c>
      <c r="T3">
        <f>'JavaScript Pivot'!G6</f>
        <v>0.31690140845070403</v>
      </c>
    </row>
    <row r="4" spans="1:20" x14ac:dyDescent="0.25">
      <c r="A4" t="str">
        <f>'Python Pivot'!B8</f>
        <v>gpt-3.5-turbo</v>
      </c>
      <c r="B4">
        <f>'Python Pivot'!C8</f>
        <v>2.4647887323943601E-2</v>
      </c>
      <c r="C4">
        <f>'Python Pivot'!D8</f>
        <v>2.4647887323943601E-2</v>
      </c>
      <c r="D4">
        <f>'Python Pivot'!E8</f>
        <v>2.4647887323943601E-2</v>
      </c>
      <c r="E4">
        <f>'Python Pivot'!F8</f>
        <v>2.4647887323943601E-2</v>
      </c>
      <c r="F4">
        <f>'Python Pivot'!G8</f>
        <v>5.9859154929577399E-2</v>
      </c>
      <c r="H4" t="str">
        <f>'Java Pivot'!B7</f>
        <v>gpt-3.5-turbo</v>
      </c>
      <c r="I4">
        <f>'Java Pivot'!C7</f>
        <v>2.4647887E-2</v>
      </c>
      <c r="J4">
        <f>'Java Pivot'!D7</f>
        <v>2.4647887E-2</v>
      </c>
      <c r="K4">
        <f>'Java Pivot'!E7</f>
        <v>2.4647887E-2</v>
      </c>
      <c r="L4">
        <f>'Java Pivot'!F7</f>
        <v>2.4647887E-2</v>
      </c>
      <c r="M4">
        <f>'Java Pivot'!G7</f>
        <v>1.7605633999999998E-2</v>
      </c>
      <c r="O4" t="str">
        <f>'JavaScript Pivot'!B7</f>
        <v>gpt-3.5-turbo</v>
      </c>
      <c r="P4">
        <f>'JavaScript Pivot'!C7</f>
        <v>2.4647887323943601E-2</v>
      </c>
      <c r="Q4">
        <f>'JavaScript Pivot'!D7</f>
        <v>2.1126760563380202E-2</v>
      </c>
      <c r="R4">
        <f>'JavaScript Pivot'!E7</f>
        <v>2.4647887323943601E-2</v>
      </c>
      <c r="S4">
        <f>'JavaScript Pivot'!F7</f>
        <v>2.4647887323943601E-2</v>
      </c>
      <c r="T4">
        <f>'JavaScript Pivot'!G7</f>
        <v>3.8732394366197097E-2</v>
      </c>
    </row>
    <row r="5" spans="1:20" x14ac:dyDescent="0.25">
      <c r="A5" t="str">
        <f>'Python Pivot'!B7</f>
        <v>gpt-5</v>
      </c>
      <c r="B5">
        <f>'Python Pivot'!C7</f>
        <v>0.161971830985915</v>
      </c>
      <c r="C5">
        <f>'Python Pivot'!D7</f>
        <v>0.27112676056337998</v>
      </c>
      <c r="D5">
        <f>'Python Pivot'!E7</f>
        <v>0.411971830985915</v>
      </c>
      <c r="E5">
        <f>'Python Pivot'!F7</f>
        <v>0.338028169014084</v>
      </c>
      <c r="F5">
        <f>'Python Pivot'!G7</f>
        <v>0.43309859154929498</v>
      </c>
      <c r="H5" t="str">
        <f>'Java Pivot'!B8</f>
        <v>gpt-5</v>
      </c>
      <c r="I5">
        <f>'Java Pivot'!C8</f>
        <v>5.2816900999999999E-2</v>
      </c>
      <c r="J5">
        <f>'Java Pivot'!D8</f>
        <v>0.183098592</v>
      </c>
      <c r="K5">
        <f>'Java Pivot'!E8</f>
        <v>0.24295774647887325</v>
      </c>
      <c r="L5">
        <f>'Java Pivot'!F8</f>
        <v>0.26408450700000002</v>
      </c>
      <c r="M5">
        <f>'Java Pivot'!G8</f>
        <v>0.45774647899999998</v>
      </c>
      <c r="O5" t="str">
        <f>'JavaScript Pivot'!B8</f>
        <v>gpt-5</v>
      </c>
      <c r="P5">
        <f>'JavaScript Pivot'!C8</f>
        <v>0.161971830985915</v>
      </c>
      <c r="Q5">
        <f>'JavaScript Pivot'!D8</f>
        <v>0.23943661971830901</v>
      </c>
      <c r="R5">
        <f>'JavaScript Pivot'!E8</f>
        <v>0.38380281690140799</v>
      </c>
      <c r="S5">
        <f>'JavaScript Pivot'!F8</f>
        <v>0.39436619718309801</v>
      </c>
      <c r="T5">
        <f>'JavaScript Pivot'!G8</f>
        <v>0.44718309859154898</v>
      </c>
    </row>
    <row r="6" spans="1:20" x14ac:dyDescent="0.25">
      <c r="A6" t="str">
        <f>'Python Pivot'!B9</f>
        <v>codellama-13b</v>
      </c>
      <c r="B6">
        <f>'Python Pivot'!C9</f>
        <v>0</v>
      </c>
      <c r="C6">
        <f>'Python Pivot'!D9</f>
        <v>0</v>
      </c>
      <c r="D6">
        <f>'Python Pivot'!E9</f>
        <v>0</v>
      </c>
      <c r="E6">
        <f>'Python Pivot'!F9</f>
        <v>0</v>
      </c>
      <c r="F6">
        <f>'Python Pivot'!G9</f>
        <v>1.0563380281690101E-2</v>
      </c>
      <c r="H6" t="str">
        <f>'Java Pivot'!B9</f>
        <v>codellama-13b</v>
      </c>
      <c r="I6">
        <f>'Java Pivot'!C9</f>
        <v>0</v>
      </c>
      <c r="J6">
        <f>'Java Pivot'!D9</f>
        <v>0</v>
      </c>
      <c r="K6">
        <f>'Java Pivot'!E9</f>
        <v>0</v>
      </c>
      <c r="L6">
        <f>'Java Pivot'!F9</f>
        <v>0</v>
      </c>
      <c r="M6">
        <f>'Java Pivot'!G9</f>
        <v>7.0422540000000004E-3</v>
      </c>
      <c r="O6" t="str">
        <f>'JavaScript Pivot'!B9</f>
        <v>codellama-13b</v>
      </c>
      <c r="P6">
        <f>'JavaScript Pivot'!C9</f>
        <v>0</v>
      </c>
      <c r="Q6">
        <f>'JavaScript Pivot'!D9</f>
        <v>0</v>
      </c>
      <c r="R6">
        <f>'JavaScript Pivot'!E9</f>
        <v>0</v>
      </c>
      <c r="S6">
        <f>'JavaScript Pivot'!F9</f>
        <v>0</v>
      </c>
      <c r="T6">
        <f>'JavaScript Pivot'!G9</f>
        <v>3.5211267605633799E-3</v>
      </c>
    </row>
    <row r="7" spans="1:20" x14ac:dyDescent="0.25">
      <c r="A7" t="str">
        <f>'Python Pivot'!B10</f>
        <v>codellama-34b</v>
      </c>
      <c r="B7">
        <f>'Python Pivot'!C10</f>
        <v>0</v>
      </c>
      <c r="C7">
        <f>'Python Pivot'!D10</f>
        <v>0</v>
      </c>
      <c r="D7">
        <f>'Python Pivot'!E10</f>
        <v>0</v>
      </c>
      <c r="E7">
        <f>'Python Pivot'!F10</f>
        <v>0</v>
      </c>
      <c r="F7">
        <f>'Python Pivot'!G10</f>
        <v>0</v>
      </c>
      <c r="H7">
        <f>'Python Pivot'!M10</f>
        <v>0</v>
      </c>
      <c r="I7">
        <f>'Python Pivot'!N10</f>
        <v>0</v>
      </c>
      <c r="J7">
        <f>'Python Pivot'!O10</f>
        <v>0</v>
      </c>
      <c r="K7">
        <f>'Python Pivot'!P10</f>
        <v>0</v>
      </c>
      <c r="L7">
        <f>'Python Pivot'!Q10</f>
        <v>0</v>
      </c>
      <c r="M7">
        <f>'Python Pivot'!R10</f>
        <v>0</v>
      </c>
      <c r="O7" t="str">
        <f>'JavaScript Pivot'!B10</f>
        <v>codellama-34b</v>
      </c>
      <c r="P7">
        <f>'JavaScript Pivot'!C10</f>
        <v>0</v>
      </c>
      <c r="Q7">
        <f>'JavaScript Pivot'!D10</f>
        <v>0</v>
      </c>
      <c r="R7">
        <f>'JavaScript Pivot'!E10</f>
        <v>0</v>
      </c>
      <c r="S7">
        <f>'JavaScript Pivot'!F10</f>
        <v>0</v>
      </c>
      <c r="T7">
        <f>'JavaScript Pivot'!G10</f>
        <v>0</v>
      </c>
    </row>
    <row r="8" spans="1:20" x14ac:dyDescent="0.25">
      <c r="A8" s="3" t="s">
        <v>100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/>
      <c r="H8" s="3" t="s">
        <v>100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O8" s="3" t="s">
        <v>100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5">
      <c r="A9" t="str">
        <f>'Python Pivot'!B11</f>
        <v>deepseek-coder-33b</v>
      </c>
      <c r="B9">
        <f>'Python Pivot'!C11</f>
        <v>0</v>
      </c>
      <c r="C9">
        <f>'Python Pivot'!D11</f>
        <v>0</v>
      </c>
      <c r="D9">
        <f>'Python Pivot'!E11</f>
        <v>0</v>
      </c>
      <c r="E9">
        <f>'Python Pivot'!F11</f>
        <v>0</v>
      </c>
      <c r="F9">
        <f>'Python Pivot'!G11</f>
        <v>3.1690140845070401E-2</v>
      </c>
      <c r="H9" t="str">
        <f>'Java Pivot'!B10</f>
        <v>deepseek-coder-33b</v>
      </c>
      <c r="I9">
        <f>'Java Pivot'!C10</f>
        <v>0</v>
      </c>
      <c r="J9">
        <f>'Java Pivot'!D10</f>
        <v>0</v>
      </c>
      <c r="K9">
        <f>'Java Pivot'!E10</f>
        <v>0</v>
      </c>
      <c r="L9">
        <f>'Java Pivot'!F10</f>
        <v>0</v>
      </c>
      <c r="M9">
        <f>'Java Pivot'!G10</f>
        <v>1.7605633999999998E-2</v>
      </c>
      <c r="O9" t="str">
        <f>'JavaScript Pivot'!B11</f>
        <v>deepseek-coder-33b</v>
      </c>
      <c r="P9">
        <f>'JavaScript Pivot'!C11</f>
        <v>0</v>
      </c>
      <c r="Q9">
        <f>'JavaScript Pivot'!D11</f>
        <v>0</v>
      </c>
      <c r="R9">
        <f>'JavaScript Pivot'!E11</f>
        <v>0</v>
      </c>
      <c r="S9">
        <f>'JavaScript Pivot'!F11</f>
        <v>0</v>
      </c>
      <c r="T9">
        <f>'JavaScript Pivot'!G11</f>
        <v>2.8169014084507001E-2</v>
      </c>
    </row>
    <row r="10" spans="1:20" x14ac:dyDescent="0.25">
      <c r="A10" t="str">
        <f>'Python Pivot'!B12</f>
        <v>deepseek-coder-6.7b</v>
      </c>
      <c r="B10">
        <f>'Python Pivot'!C12</f>
        <v>0</v>
      </c>
      <c r="C10">
        <f>'Python Pivot'!D12</f>
        <v>0</v>
      </c>
      <c r="D10">
        <f>'Python Pivot'!E12</f>
        <v>0</v>
      </c>
      <c r="E10">
        <f>'Python Pivot'!F12</f>
        <v>0</v>
      </c>
      <c r="F10">
        <f>'Python Pivot'!G12</f>
        <v>3.5211267605633799E-3</v>
      </c>
      <c r="H10" t="str">
        <f>'Java Pivot'!B11</f>
        <v>deepseek-coder-6.7b</v>
      </c>
      <c r="I10">
        <f>'Java Pivot'!C11</f>
        <v>0</v>
      </c>
      <c r="J10">
        <f>'Java Pivot'!D11</f>
        <v>0</v>
      </c>
      <c r="K10">
        <f>'Java Pivot'!E11</f>
        <v>0</v>
      </c>
      <c r="L10">
        <f>'Java Pivot'!F11</f>
        <v>0</v>
      </c>
      <c r="M10">
        <f>'Java Pivot'!G11</f>
        <v>3.5211270000000002E-3</v>
      </c>
      <c r="O10" t="str">
        <f>'JavaScript Pivot'!B12</f>
        <v>deepseek-coder-6.7b</v>
      </c>
      <c r="P10">
        <f>'JavaScript Pivot'!C12</f>
        <v>0</v>
      </c>
      <c r="Q10">
        <f>'JavaScript Pivot'!D12</f>
        <v>0</v>
      </c>
      <c r="R10">
        <f>'JavaScript Pivot'!E12</f>
        <v>0</v>
      </c>
      <c r="S10">
        <f>'JavaScript Pivot'!F12</f>
        <v>0</v>
      </c>
      <c r="T10">
        <f>'JavaScript Pivot'!G12</f>
        <v>2.1126760563380202E-2</v>
      </c>
    </row>
    <row r="11" spans="1:20" x14ac:dyDescent="0.25">
      <c r="A11" t="str">
        <f>'Python Pivot'!B13</f>
        <v>gemma3-12b</v>
      </c>
      <c r="B11">
        <f>'Python Pivot'!C13</f>
        <v>3.1690140845070401E-2</v>
      </c>
      <c r="C11">
        <f>'Python Pivot'!D13</f>
        <v>1.0563380281690101E-2</v>
      </c>
      <c r="D11">
        <f>'Python Pivot'!E13</f>
        <v>3.5211267605633799E-3</v>
      </c>
      <c r="E11">
        <f>'Python Pivot'!F13</f>
        <v>2.4647887323943601E-2</v>
      </c>
      <c r="F11">
        <f>'Python Pivot'!G13</f>
        <v>6.6901408450704206E-2</v>
      </c>
      <c r="H11" t="str">
        <f>'Java Pivot'!B12</f>
        <v>gemma3-12b</v>
      </c>
      <c r="I11">
        <f>'Java Pivot'!C12</f>
        <v>2.1126761000000001E-2</v>
      </c>
      <c r="J11">
        <f>'Java Pivot'!D12</f>
        <v>2.1126761000000001E-2</v>
      </c>
      <c r="K11">
        <f>'Java Pivot'!E12</f>
        <v>3.5211270000000002E-3</v>
      </c>
      <c r="L11">
        <f>'Java Pivot'!F12</f>
        <v>2.4647887E-2</v>
      </c>
      <c r="M11">
        <f>'Java Pivot'!G12</f>
        <v>1.4084507E-2</v>
      </c>
      <c r="O11" t="str">
        <f>'JavaScript Pivot'!B13</f>
        <v>gemma3-12b</v>
      </c>
      <c r="P11">
        <f>'JavaScript Pivot'!C13</f>
        <v>3.5211267605633798E-2</v>
      </c>
      <c r="Q11">
        <f>'JavaScript Pivot'!D13</f>
        <v>5.9859154929577399E-2</v>
      </c>
      <c r="R11">
        <f>'JavaScript Pivot'!E13</f>
        <v>1.0563380281690101E-2</v>
      </c>
      <c r="S11">
        <f>'JavaScript Pivot'!F13</f>
        <v>0</v>
      </c>
      <c r="T11">
        <f>'JavaScript Pivot'!G13</f>
        <v>0.13380281690140799</v>
      </c>
    </row>
    <row r="12" spans="1:20" x14ac:dyDescent="0.25">
      <c r="A12" t="str">
        <f>'Python Pivot'!B14</f>
        <v>gemma3-27b</v>
      </c>
      <c r="B12">
        <f>'Python Pivot'!C14</f>
        <v>1.4084507042253501E-2</v>
      </c>
      <c r="C12">
        <f>'Python Pivot'!D14</f>
        <v>2.4647887323943601E-2</v>
      </c>
      <c r="D12">
        <f>'Python Pivot'!E14</f>
        <v>1.4084507042253501E-2</v>
      </c>
      <c r="E12">
        <f>'Python Pivot'!F14</f>
        <v>2.4647887323943601E-2</v>
      </c>
      <c r="F12">
        <f>'Python Pivot'!G14</f>
        <v>0.109154929577464</v>
      </c>
      <c r="H12" t="str">
        <f>'Java Pivot'!B13</f>
        <v>gemma3-27b</v>
      </c>
      <c r="I12">
        <f>'Java Pivot'!C13</f>
        <v>2.8169013999999999E-2</v>
      </c>
      <c r="J12">
        <f>'Java Pivot'!D13</f>
        <v>1.7605633999999998E-2</v>
      </c>
      <c r="K12">
        <f>'Java Pivot'!E13</f>
        <v>3.1690140999999998E-2</v>
      </c>
      <c r="L12">
        <f>'Java Pivot'!F13</f>
        <v>4.5774648000000001E-2</v>
      </c>
      <c r="M12">
        <f>'Java Pivot'!G13</f>
        <v>6.6901407999999996E-2</v>
      </c>
      <c r="O12" t="str">
        <f>'JavaScript Pivot'!B14</f>
        <v>gemma3-27b</v>
      </c>
      <c r="P12">
        <f>'JavaScript Pivot'!C14</f>
        <v>7.0422535211267595E-2</v>
      </c>
      <c r="Q12">
        <f>'JavaScript Pivot'!D14</f>
        <v>4.92957746478873E-2</v>
      </c>
      <c r="R12">
        <f>'JavaScript Pivot'!E14</f>
        <v>3.5211267605633798E-2</v>
      </c>
      <c r="S12">
        <f>'JavaScript Pivot'!F14</f>
        <v>2.4647887323943601E-2</v>
      </c>
      <c r="T12">
        <f>'JavaScript Pivot'!G14</f>
        <v>0.140845070422535</v>
      </c>
    </row>
    <row r="13" spans="1:20" x14ac:dyDescent="0.25">
      <c r="A13" t="str">
        <f>'Python Pivot'!B15</f>
        <v>gpt-oss-20b</v>
      </c>
      <c r="B13">
        <f>'Python Pivot'!C15</f>
        <v>5.6338028169014003E-2</v>
      </c>
      <c r="C13">
        <f>'Python Pivot'!D15</f>
        <v>5.2816901408450703E-2</v>
      </c>
      <c r="D13">
        <f>'Python Pivot'!E15</f>
        <v>1.7605633802816899E-2</v>
      </c>
      <c r="E13">
        <f>'Python Pivot'!F15</f>
        <v>2.4647887323943601E-2</v>
      </c>
      <c r="F13">
        <f>'Python Pivot'!G15</f>
        <v>0.14436619718309801</v>
      </c>
      <c r="H13" t="str">
        <f>'Java Pivot'!B14</f>
        <v>gpt-oss-20b</v>
      </c>
      <c r="I13">
        <f>'Java Pivot'!C14</f>
        <v>3.1690140999999998E-2</v>
      </c>
      <c r="J13">
        <f>'Java Pivot'!D14</f>
        <v>6.3380281999999996E-2</v>
      </c>
      <c r="K13">
        <f>'Java Pivot'!E14</f>
        <v>7.7464789000000006E-2</v>
      </c>
      <c r="L13">
        <f>'Java Pivot'!F14</f>
        <v>6.6901407999999996E-2</v>
      </c>
      <c r="M13">
        <f>'Java Pivot'!G14</f>
        <v>8.8028169000000003E-2</v>
      </c>
      <c r="O13" t="str">
        <f>'JavaScript Pivot'!B15</f>
        <v>gpt-oss-20b</v>
      </c>
      <c r="P13">
        <f>'JavaScript Pivot'!C15</f>
        <v>5.6338028169014003E-2</v>
      </c>
      <c r="Q13">
        <f>'JavaScript Pivot'!D15</f>
        <v>0.109154929577464</v>
      </c>
      <c r="R13">
        <f>'JavaScript Pivot'!E15</f>
        <v>7.3943661971830901E-2</v>
      </c>
      <c r="S13">
        <f>'JavaScript Pivot'!F15</f>
        <v>9.5070422535211196E-2</v>
      </c>
      <c r="T13">
        <f>'JavaScript Pivot'!G15</f>
        <v>8.0985915492957694E-2</v>
      </c>
    </row>
    <row r="14" spans="1:20" x14ac:dyDescent="0.25">
      <c r="A14" t="str">
        <f>'Python Pivot'!B16</f>
        <v>llama3.1-8b</v>
      </c>
      <c r="B14">
        <f>'Python Pivot'!C16</f>
        <v>1.4084507042253501E-2</v>
      </c>
      <c r="C14">
        <f>'Python Pivot'!D16</f>
        <v>0</v>
      </c>
      <c r="D14">
        <f>'Python Pivot'!E16</f>
        <v>7.0422535211267599E-3</v>
      </c>
      <c r="E14">
        <f>'Python Pivot'!F16</f>
        <v>3.5211267605633799E-3</v>
      </c>
      <c r="F14">
        <f>'Python Pivot'!G16</f>
        <v>0</v>
      </c>
      <c r="H14" t="str">
        <f>'Java Pivot'!B15</f>
        <v>llama3.1-8b</v>
      </c>
      <c r="I14">
        <f>'Java Pivot'!C15</f>
        <v>7.0422540000000004E-3</v>
      </c>
      <c r="J14">
        <f>'Java Pivot'!D15</f>
        <v>7.0422540000000004E-3</v>
      </c>
      <c r="K14">
        <f>'Java Pivot'!E15</f>
        <v>7.0422540000000004E-3</v>
      </c>
      <c r="L14">
        <f>'Java Pivot'!F15</f>
        <v>3.5211270000000002E-3</v>
      </c>
      <c r="M14">
        <f>'Java Pivot'!G15</f>
        <v>7.0422540000000004E-3</v>
      </c>
      <c r="O14" t="str">
        <f>'JavaScript Pivot'!B16</f>
        <v>llama3.1-8b</v>
      </c>
      <c r="P14">
        <f>'JavaScript Pivot'!C16</f>
        <v>3.5211267605633799E-3</v>
      </c>
      <c r="Q14">
        <f>'JavaScript Pivot'!D16</f>
        <v>0</v>
      </c>
      <c r="R14">
        <f>'JavaScript Pivot'!E16</f>
        <v>2.1126760563380202E-2</v>
      </c>
      <c r="S14">
        <f>'JavaScript Pivot'!F16</f>
        <v>1.4084507042253501E-2</v>
      </c>
      <c r="T14">
        <f>'JavaScript Pivot'!G16</f>
        <v>3.5211267605633799E-3</v>
      </c>
    </row>
    <row r="15" spans="1:20" x14ac:dyDescent="0.25">
      <c r="A15" t="str">
        <f>'Python Pivot'!B17</f>
        <v>llama3.3-70b</v>
      </c>
      <c r="B15">
        <f>'Python Pivot'!C17</f>
        <v>2.4647887323943601E-2</v>
      </c>
      <c r="C15">
        <f>'Python Pivot'!D17</f>
        <v>0.102112676056338</v>
      </c>
      <c r="D15">
        <f>'Python Pivot'!E17</f>
        <v>1.7605633802816899E-2</v>
      </c>
      <c r="E15">
        <f>'Python Pivot'!F17</f>
        <v>1.7605633802816899E-2</v>
      </c>
      <c r="F15">
        <f>'Python Pivot'!G17</f>
        <v>5.9859154929577399E-2</v>
      </c>
      <c r="H15" t="str">
        <f>'Java Pivot'!B16</f>
        <v>llama3.3-70b</v>
      </c>
      <c r="I15">
        <f>'Java Pivot'!C16</f>
        <v>3.5211270000000002E-3</v>
      </c>
      <c r="J15">
        <f>'Java Pivot'!D16</f>
        <v>0</v>
      </c>
      <c r="K15">
        <f>'Java Pivot'!E16</f>
        <v>3.5211270000000002E-3</v>
      </c>
      <c r="L15">
        <f>'Java Pivot'!F16</f>
        <v>1.7605633999999998E-2</v>
      </c>
      <c r="M15">
        <f>'Java Pivot'!G16</f>
        <v>4.9295775E-2</v>
      </c>
      <c r="O15" t="str">
        <f>'JavaScript Pivot'!B17</f>
        <v>llama3.3-70b</v>
      </c>
      <c r="P15">
        <f>'JavaScript Pivot'!C17</f>
        <v>0.11267605633802801</v>
      </c>
      <c r="Q15">
        <f>'JavaScript Pivot'!D17</f>
        <v>0.13380281690140799</v>
      </c>
      <c r="R15">
        <f>'JavaScript Pivot'!E17</f>
        <v>0.11619718309859101</v>
      </c>
      <c r="S15">
        <f>'JavaScript Pivot'!F17</f>
        <v>0.20070422535211199</v>
      </c>
      <c r="T15">
        <f>'JavaScript Pivot'!G17</f>
        <v>0.13380281690140799</v>
      </c>
    </row>
    <row r="16" spans="1:20" x14ac:dyDescent="0.25">
      <c r="A16" t="str">
        <f>'Python Pivot'!B18</f>
        <v>phi4-14b</v>
      </c>
      <c r="B16">
        <f>'Python Pivot'!C18</f>
        <v>0</v>
      </c>
      <c r="C16">
        <f>'Python Pivot'!D18</f>
        <v>4.92957746478873E-2</v>
      </c>
      <c r="D16">
        <f>'Python Pivot'!E18</f>
        <v>0</v>
      </c>
      <c r="E16">
        <f>'Python Pivot'!F18</f>
        <v>2.1126760563380202E-2</v>
      </c>
      <c r="F16">
        <f>'Python Pivot'!G18</f>
        <v>0.12676056338028099</v>
      </c>
      <c r="H16" t="str">
        <f>'Java Pivot'!B17</f>
        <v>phi4-14b</v>
      </c>
      <c r="I16">
        <f>'Java Pivot'!C17</f>
        <v>1.0563380000000001E-2</v>
      </c>
      <c r="J16">
        <f>'Java Pivot'!D17</f>
        <v>4.9295775E-2</v>
      </c>
      <c r="K16">
        <f>'Java Pivot'!E17</f>
        <v>1.0563380000000001E-2</v>
      </c>
      <c r="L16">
        <f>'Java Pivot'!F17</f>
        <v>2.4647887E-2</v>
      </c>
      <c r="M16">
        <f>'Java Pivot'!G17</f>
        <v>2.4647887E-2</v>
      </c>
      <c r="O16" t="str">
        <f>'JavaScript Pivot'!B18</f>
        <v>phi4-14b</v>
      </c>
      <c r="P16">
        <f>'JavaScript Pivot'!C18</f>
        <v>5.2816901408450703E-2</v>
      </c>
      <c r="Q16">
        <f>'JavaScript Pivot'!D18</f>
        <v>9.85915492957746E-2</v>
      </c>
      <c r="R16">
        <f>'JavaScript Pivot'!E18</f>
        <v>8.0985915492957694E-2</v>
      </c>
      <c r="S16">
        <f>'JavaScript Pivot'!F18</f>
        <v>0.140845070422535</v>
      </c>
      <c r="T16">
        <f>'JavaScript Pivot'!G18</f>
        <v>0.11619718309859101</v>
      </c>
    </row>
    <row r="17" spans="1:20" x14ac:dyDescent="0.25">
      <c r="A17" t="str">
        <f>'Python Pivot'!B19</f>
        <v>qwen2.5-coder-14b</v>
      </c>
      <c r="B17">
        <f>'Python Pivot'!C19</f>
        <v>0</v>
      </c>
      <c r="C17">
        <f>'Python Pivot'!D19</f>
        <v>0</v>
      </c>
      <c r="D17">
        <f>'Python Pivot'!E19</f>
        <v>0</v>
      </c>
      <c r="E17">
        <f>'Python Pivot'!F19</f>
        <v>0</v>
      </c>
      <c r="F17">
        <f>'Python Pivot'!G19</f>
        <v>3.5211267605633799E-3</v>
      </c>
      <c r="H17" t="str">
        <f>'Java Pivot'!B18</f>
        <v>qwen2.5-coder-14b</v>
      </c>
      <c r="I17">
        <f>'Java Pivot'!C18</f>
        <v>0</v>
      </c>
      <c r="J17">
        <f>'Java Pivot'!D18</f>
        <v>0</v>
      </c>
      <c r="K17">
        <f>'Java Pivot'!E18</f>
        <v>0</v>
      </c>
      <c r="L17">
        <f>'Java Pivot'!F18</f>
        <v>0</v>
      </c>
      <c r="M17">
        <f>'Java Pivot'!G18</f>
        <v>0</v>
      </c>
      <c r="O17" t="str">
        <f>'JavaScript Pivot'!B19</f>
        <v>qwen2.5-coder-14b</v>
      </c>
      <c r="P17">
        <f>'JavaScript Pivot'!C19</f>
        <v>0</v>
      </c>
      <c r="Q17">
        <f>'JavaScript Pivot'!D19</f>
        <v>0</v>
      </c>
      <c r="R17">
        <f>'JavaScript Pivot'!E19</f>
        <v>0</v>
      </c>
      <c r="S17">
        <f>'JavaScript Pivot'!F19</f>
        <v>0</v>
      </c>
      <c r="T17">
        <f>'JavaScript Pivot'!G19</f>
        <v>8.8028169014084501E-2</v>
      </c>
    </row>
    <row r="18" spans="1:20" x14ac:dyDescent="0.25">
      <c r="A18" t="str">
        <f>'Python Pivot'!B20</f>
        <v>qwen2.5-coder-32b</v>
      </c>
      <c r="B18">
        <f>'Python Pivot'!C20</f>
        <v>0</v>
      </c>
      <c r="C18">
        <f>'Python Pivot'!D20</f>
        <v>0</v>
      </c>
      <c r="D18">
        <f>'Python Pivot'!E20</f>
        <v>0</v>
      </c>
      <c r="E18">
        <f>'Python Pivot'!F20</f>
        <v>0</v>
      </c>
      <c r="F18">
        <f>'Python Pivot'!G20</f>
        <v>8.8028169014084501E-2</v>
      </c>
      <c r="H18" t="str">
        <f>'Java Pivot'!B19</f>
        <v>qwen2.5-coder-32b</v>
      </c>
      <c r="I18">
        <f>'Java Pivot'!C19</f>
        <v>0</v>
      </c>
      <c r="J18">
        <f>'Java Pivot'!D19</f>
        <v>0</v>
      </c>
      <c r="K18">
        <f>'Java Pivot'!E19</f>
        <v>0</v>
      </c>
      <c r="L18">
        <f>'Java Pivot'!F19</f>
        <v>0</v>
      </c>
      <c r="M18">
        <f>'Java Pivot'!G19</f>
        <v>4.2253521000000002E-2</v>
      </c>
      <c r="O18" t="str">
        <f>'JavaScript Pivot'!B20</f>
        <v>qwen2.5-coder-32b</v>
      </c>
      <c r="P18">
        <f>'JavaScript Pivot'!C20</f>
        <v>0</v>
      </c>
      <c r="Q18">
        <f>'JavaScript Pivot'!D20</f>
        <v>0</v>
      </c>
      <c r="R18">
        <f>'JavaScript Pivot'!E20</f>
        <v>0</v>
      </c>
      <c r="S18">
        <f>'JavaScript Pivot'!F20</f>
        <v>0</v>
      </c>
      <c r="T18">
        <f>'JavaScript Pivot'!G20</f>
        <v>9.5070422535211196E-2</v>
      </c>
    </row>
    <row r="19" spans="1:20" x14ac:dyDescent="0.25">
      <c r="A19" t="str">
        <f>'Python Pivot'!B21</f>
        <v>qwen3-14b</v>
      </c>
      <c r="B19">
        <f>'Python Pivot'!C21</f>
        <v>0</v>
      </c>
      <c r="C19">
        <f>'Python Pivot'!D21</f>
        <v>2.1126760563380202E-2</v>
      </c>
      <c r="D19">
        <f>'Python Pivot'!E21</f>
        <v>1.0563380281690101E-2</v>
      </c>
      <c r="E19">
        <f>'Python Pivot'!F21</f>
        <v>3.1690140845070401E-2</v>
      </c>
      <c r="F19">
        <f>'Python Pivot'!G21</f>
        <v>5.2816901408450703E-2</v>
      </c>
      <c r="H19" t="str">
        <f>'Java Pivot'!B20</f>
        <v>qwen3-14b</v>
      </c>
      <c r="I19">
        <f>'Java Pivot'!C20</f>
        <v>1.4084507E-2</v>
      </c>
      <c r="J19">
        <f>'Java Pivot'!D20</f>
        <v>3.1690140999999998E-2</v>
      </c>
      <c r="K19">
        <f>'Java Pivot'!E20</f>
        <v>7.0422540000000004E-3</v>
      </c>
      <c r="L19">
        <f>'Java Pivot'!F20</f>
        <v>1.0563380000000001E-2</v>
      </c>
      <c r="M19">
        <f>'Java Pivot'!G20</f>
        <v>1.4084507E-2</v>
      </c>
      <c r="O19" t="str">
        <f>'JavaScript Pivot'!B21</f>
        <v>qwen3-14b</v>
      </c>
      <c r="P19">
        <f>'JavaScript Pivot'!C21</f>
        <v>5.2816901408450703E-2</v>
      </c>
      <c r="Q19">
        <f>'JavaScript Pivot'!D21</f>
        <v>3.1690140845070401E-2</v>
      </c>
      <c r="R19">
        <f>'JavaScript Pivot'!E21</f>
        <v>3.8732394366197097E-2</v>
      </c>
      <c r="S19">
        <f>'JavaScript Pivot'!F21</f>
        <v>7.0422535211267599E-3</v>
      </c>
      <c r="T19">
        <f>'JavaScript Pivot'!G21</f>
        <v>2.4647887323943601E-2</v>
      </c>
    </row>
    <row r="20" spans="1:20" x14ac:dyDescent="0.25">
      <c r="A20" t="str">
        <f>'Python Pivot'!B22</f>
        <v>qwen3-30b</v>
      </c>
      <c r="B20">
        <f>'Python Pivot'!C22</f>
        <v>4.5774647887323897E-2</v>
      </c>
      <c r="C20">
        <f>'Python Pivot'!D22</f>
        <v>3.8732394366197097E-2</v>
      </c>
      <c r="D20">
        <f>'Python Pivot'!E22</f>
        <v>8.8028169014084501E-2</v>
      </c>
      <c r="E20">
        <f>'Python Pivot'!F22</f>
        <v>6.3380281690140802E-2</v>
      </c>
      <c r="F20">
        <f>'Python Pivot'!G22</f>
        <v>0.15140845070422501</v>
      </c>
      <c r="H20" t="str">
        <f>'Java Pivot'!B21</f>
        <v>qwen3-30b</v>
      </c>
      <c r="I20">
        <f>'Java Pivot'!C21</f>
        <v>4.5774648000000001E-2</v>
      </c>
      <c r="J20">
        <f>'Java Pivot'!D21</f>
        <v>5.2816900999999999E-2</v>
      </c>
      <c r="K20">
        <f>'Java Pivot'!E21</f>
        <v>5.2816900999999999E-2</v>
      </c>
      <c r="L20">
        <f>'Java Pivot'!F21</f>
        <v>3.5211270000000002E-3</v>
      </c>
      <c r="M20">
        <f>'Java Pivot'!G21</f>
        <v>4.9295775E-2</v>
      </c>
      <c r="O20" t="str">
        <f>'JavaScript Pivot'!B22</f>
        <v>qwen3-30b</v>
      </c>
      <c r="P20">
        <f>'JavaScript Pivot'!C22</f>
        <v>4.92957746478873E-2</v>
      </c>
      <c r="Q20">
        <f>'JavaScript Pivot'!D22</f>
        <v>2.8169014084507001E-2</v>
      </c>
      <c r="R20">
        <f>'JavaScript Pivot'!E22</f>
        <v>7.0422535211267595E-2</v>
      </c>
      <c r="S20">
        <f>'JavaScript Pivot'!F22</f>
        <v>5.9859154929577399E-2</v>
      </c>
      <c r="T20">
        <f>'JavaScript Pivot'!G22</f>
        <v>7.7464788732394305E-2</v>
      </c>
    </row>
    <row r="21" spans="1:20" x14ac:dyDescent="0.25">
      <c r="B21" s="2">
        <f>AVERAGE(B3:B5,B11:B16,B19:B20)</f>
        <v>4.0973111395646522E-2</v>
      </c>
      <c r="C21" s="2">
        <f t="shared" ref="C21:E21" si="0">AVERAGE(C3:C5,C11:C16,C19:C20)</f>
        <v>7.2023047375159979E-2</v>
      </c>
      <c r="D21" s="2">
        <f t="shared" si="0"/>
        <v>6.5620998719590151E-2</v>
      </c>
      <c r="E21" s="2">
        <f t="shared" si="0"/>
        <v>6.9462227912932009E-2</v>
      </c>
      <c r="F21" s="2">
        <f>AVERAGE(F3:F20)</f>
        <v>8.4702660406885552E-2</v>
      </c>
      <c r="G21" s="2"/>
      <c r="H21" s="2"/>
      <c r="I21" s="2">
        <f>AVERAGE(I3:I5,I11:I16,I19:I20)</f>
        <v>2.7528809272727273E-2</v>
      </c>
      <c r="J21" s="2">
        <f t="shared" ref="J21" si="1">AVERAGE(J3:J5,J11:J16,J19:J20)</f>
        <v>5.5377721000000005E-2</v>
      </c>
      <c r="K21" s="2">
        <f t="shared" ref="K21" si="2">AVERAGE(K3:K5,K11:K16,K19:K20)</f>
        <v>5.3777208770806668E-2</v>
      </c>
      <c r="L21" s="2">
        <f t="shared" ref="L21" si="3">AVERAGE(L3:L5,L11:L16,L19:L20)</f>
        <v>5.2816901363636364E-2</v>
      </c>
      <c r="M21" s="2">
        <f>AVERAGE(M3:M20)</f>
        <v>6.1815336555555551E-2</v>
      </c>
      <c r="N21" s="2"/>
      <c r="O21" s="2"/>
      <c r="P21" s="2">
        <f>AVERAGE(P3:P5,P11:P16,P19:P20)</f>
        <v>6.3380281690140775E-2</v>
      </c>
      <c r="Q21" s="2">
        <f t="shared" ref="Q21" si="4">AVERAGE(Q3:Q5,Q11:Q16,Q19:Q20)</f>
        <v>8.3226632522406904E-2</v>
      </c>
      <c r="R21" s="2">
        <f t="shared" ref="R21" si="5">AVERAGE(R3:R5,R11:R16,R19:R20)</f>
        <v>9.1549295774647751E-2</v>
      </c>
      <c r="S21" s="2">
        <f t="shared" ref="S21" si="6">AVERAGE(S3:S5,S11:S16,S19:S20)</f>
        <v>0.10179257362355937</v>
      </c>
      <c r="T21" s="2">
        <f>AVERAGE(T3:T20)</f>
        <v>9.7222222222222085E-2</v>
      </c>
    </row>
    <row r="24" spans="1:20" x14ac:dyDescent="0.25">
      <c r="B24" t="s">
        <v>180</v>
      </c>
      <c r="D24" t="s">
        <v>181</v>
      </c>
    </row>
    <row r="25" spans="1:20" x14ac:dyDescent="0.25">
      <c r="B25">
        <v>1</v>
      </c>
      <c r="C25">
        <v>2</v>
      </c>
      <c r="D25">
        <v>1</v>
      </c>
      <c r="E25">
        <v>2</v>
      </c>
      <c r="F25">
        <v>3</v>
      </c>
      <c r="G25" t="s">
        <v>171</v>
      </c>
    </row>
    <row r="26" spans="1:20" x14ac:dyDescent="0.25">
      <c r="A26" t="s">
        <v>83</v>
      </c>
      <c r="B26">
        <f>(B3+I3+P3)/3</f>
        <v>7.2769953154929526E-2</v>
      </c>
      <c r="C26">
        <f t="shared" ref="C26:F26" si="7">(C3+J3+Q3)/3</f>
        <v>0.166666666591549</v>
      </c>
      <c r="D26">
        <f t="shared" si="7"/>
        <v>0.13615023469483534</v>
      </c>
      <c r="E26">
        <f t="shared" si="7"/>
        <v>0.14788732409859134</v>
      </c>
      <c r="F26">
        <f t="shared" si="7"/>
        <v>0.25117370899999969</v>
      </c>
      <c r="G26">
        <f>AVERAGE(B26:F26)</f>
        <v>0.15492957750798098</v>
      </c>
      <c r="K26" t="s">
        <v>75</v>
      </c>
      <c r="L26" t="s">
        <v>165</v>
      </c>
      <c r="M26" t="s">
        <v>166</v>
      </c>
      <c r="N26" t="s">
        <v>167</v>
      </c>
      <c r="O26" t="s">
        <v>168</v>
      </c>
      <c r="P26" t="s">
        <v>169</v>
      </c>
      <c r="Q26" t="s">
        <v>170</v>
      </c>
      <c r="R26" t="s">
        <v>171</v>
      </c>
    </row>
    <row r="27" spans="1:20" x14ac:dyDescent="0.25">
      <c r="A27" t="s">
        <v>84</v>
      </c>
      <c r="B27">
        <f t="shared" ref="B27:B43" si="8">(B4+I4+P4)/3</f>
        <v>2.4647887215962404E-2</v>
      </c>
      <c r="C27">
        <f t="shared" ref="C27:C43" si="9">(C4+J4+Q4)/3</f>
        <v>2.3474178295774601E-2</v>
      </c>
      <c r="D27">
        <f t="shared" ref="D27:D43" si="10">(D4+K4+R4)/3</f>
        <v>2.4647887215962404E-2</v>
      </c>
      <c r="E27">
        <f t="shared" ref="E27:E43" si="11">(E4+L4+S4)/3</f>
        <v>2.4647887215962404E-2</v>
      </c>
      <c r="F27">
        <f t="shared" ref="F27:F43" si="12">(F4+M4+T4)/3</f>
        <v>3.8732394431924833E-2</v>
      </c>
      <c r="G27">
        <f>AVERAGE(B27:F27)</f>
        <v>2.723004687511733E-2</v>
      </c>
      <c r="K27" t="s">
        <v>83</v>
      </c>
      <c r="L27">
        <f>B3</f>
        <v>7.7464788732394305E-2</v>
      </c>
      <c r="M27">
        <f t="shared" ref="M27:M29" si="13">I3</f>
        <v>6.3380281999999996E-2</v>
      </c>
      <c r="N27">
        <f t="shared" ref="N27:N29" si="14">P3</f>
        <v>7.7464788732394305E-2</v>
      </c>
      <c r="O27">
        <f t="shared" ref="O27:O29" si="15">C3</f>
        <v>0.19718309859154901</v>
      </c>
      <c r="P27">
        <f t="shared" ref="P27:P29" si="16">J3</f>
        <v>0.158450704</v>
      </c>
      <c r="Q27">
        <f t="shared" ref="Q27:Q29" si="17">Q3</f>
        <v>0.14436619718309801</v>
      </c>
      <c r="R27">
        <f>AVERAGE(L27:Q27)</f>
        <v>0.11971830987323928</v>
      </c>
    </row>
    <row r="28" spans="1:20" x14ac:dyDescent="0.25">
      <c r="A28" t="s">
        <v>85</v>
      </c>
      <c r="B28">
        <f t="shared" si="8"/>
        <v>0.12558685432394334</v>
      </c>
      <c r="C28">
        <f t="shared" si="9"/>
        <v>0.23122065742722966</v>
      </c>
      <c r="D28">
        <f t="shared" si="10"/>
        <v>0.34624413145539878</v>
      </c>
      <c r="E28">
        <f t="shared" si="11"/>
        <v>0.33215962439906072</v>
      </c>
      <c r="F28">
        <f t="shared" si="12"/>
        <v>0.44600938971361465</v>
      </c>
      <c r="G28">
        <f>AVERAGE(B28:F28)</f>
        <v>0.29624413146384942</v>
      </c>
      <c r="K28" t="s">
        <v>84</v>
      </c>
      <c r="L28">
        <f t="shared" ref="L27:L29" si="18">B4</f>
        <v>2.4647887323943601E-2</v>
      </c>
      <c r="M28">
        <f t="shared" si="13"/>
        <v>2.4647887E-2</v>
      </c>
      <c r="N28">
        <f t="shared" si="14"/>
        <v>2.4647887323943601E-2</v>
      </c>
      <c r="O28">
        <f t="shared" si="15"/>
        <v>2.4647887323943601E-2</v>
      </c>
      <c r="P28">
        <f t="shared" si="16"/>
        <v>2.4647887E-2</v>
      </c>
      <c r="Q28">
        <f t="shared" si="17"/>
        <v>2.1126760563380202E-2</v>
      </c>
      <c r="R28">
        <f t="shared" ref="R28:R37" si="19">AVERAGE(L28:Q28)</f>
        <v>2.4061032755868503E-2</v>
      </c>
    </row>
    <row r="29" spans="1:20" x14ac:dyDescent="0.25">
      <c r="A29" t="s">
        <v>98</v>
      </c>
      <c r="B29">
        <f t="shared" si="8"/>
        <v>0</v>
      </c>
      <c r="C29">
        <f t="shared" si="9"/>
        <v>0</v>
      </c>
      <c r="D29">
        <f t="shared" si="10"/>
        <v>0</v>
      </c>
      <c r="E29">
        <f t="shared" si="11"/>
        <v>0</v>
      </c>
      <c r="F29">
        <f t="shared" si="12"/>
        <v>7.0422536807511595E-3</v>
      </c>
      <c r="G29">
        <f>AVERAGE(B29:F29)</f>
        <v>1.4084507361502318E-3</v>
      </c>
      <c r="K29" t="s">
        <v>85</v>
      </c>
      <c r="L29">
        <f t="shared" si="18"/>
        <v>0.161971830985915</v>
      </c>
      <c r="M29">
        <f t="shared" si="13"/>
        <v>5.2816900999999999E-2</v>
      </c>
      <c r="N29">
        <f t="shared" si="14"/>
        <v>0.161971830985915</v>
      </c>
      <c r="O29">
        <f t="shared" si="15"/>
        <v>0.27112676056337998</v>
      </c>
      <c r="P29">
        <f t="shared" si="16"/>
        <v>0.183098592</v>
      </c>
      <c r="Q29">
        <f t="shared" si="17"/>
        <v>0.23943661971830901</v>
      </c>
      <c r="R29">
        <f t="shared" si="19"/>
        <v>0.17840375587558652</v>
      </c>
    </row>
    <row r="30" spans="1:20" x14ac:dyDescent="0.25">
      <c r="A30" t="s">
        <v>99</v>
      </c>
      <c r="B30">
        <f t="shared" si="8"/>
        <v>0</v>
      </c>
      <c r="C30">
        <f t="shared" si="9"/>
        <v>0</v>
      </c>
      <c r="D30">
        <f t="shared" si="10"/>
        <v>0</v>
      </c>
      <c r="E30">
        <f t="shared" si="11"/>
        <v>0</v>
      </c>
      <c r="F30">
        <f t="shared" si="12"/>
        <v>0</v>
      </c>
      <c r="G30">
        <f t="shared" ref="G30:G43" si="20">AVERAGE(B30:F30)</f>
        <v>0</v>
      </c>
      <c r="K30" t="s">
        <v>88</v>
      </c>
      <c r="L30">
        <f t="shared" ref="L30:L35" si="21">B11</f>
        <v>3.1690140845070401E-2</v>
      </c>
      <c r="M30">
        <f t="shared" ref="M30:M35" si="22">I11</f>
        <v>2.1126761000000001E-2</v>
      </c>
      <c r="N30">
        <f t="shared" ref="N30:N35" si="23">P11</f>
        <v>3.5211267605633798E-2</v>
      </c>
      <c r="O30">
        <f t="shared" ref="O30:O35" si="24">C11</f>
        <v>1.0563380281690101E-2</v>
      </c>
      <c r="P30">
        <f t="shared" ref="P30:P35" si="25">J11</f>
        <v>2.1126761000000001E-2</v>
      </c>
      <c r="Q30">
        <f t="shared" ref="Q30:Q35" si="26">Q11</f>
        <v>5.9859154929577399E-2</v>
      </c>
      <c r="R30">
        <f t="shared" si="19"/>
        <v>2.9929577610328616E-2</v>
      </c>
    </row>
    <row r="31" spans="1:20" x14ac:dyDescent="0.25">
      <c r="A31" t="s">
        <v>100</v>
      </c>
      <c r="B31">
        <f t="shared" si="8"/>
        <v>0</v>
      </c>
      <c r="C31">
        <f t="shared" si="9"/>
        <v>0</v>
      </c>
      <c r="D31">
        <f t="shared" si="10"/>
        <v>0</v>
      </c>
      <c r="E31">
        <f t="shared" si="11"/>
        <v>0</v>
      </c>
      <c r="F31">
        <f t="shared" si="12"/>
        <v>0</v>
      </c>
      <c r="G31">
        <f t="shared" si="20"/>
        <v>0</v>
      </c>
      <c r="K31" t="s">
        <v>89</v>
      </c>
      <c r="L31">
        <f t="shared" si="21"/>
        <v>1.4084507042253501E-2</v>
      </c>
      <c r="M31">
        <f t="shared" si="22"/>
        <v>2.8169013999999999E-2</v>
      </c>
      <c r="N31">
        <f t="shared" si="23"/>
        <v>7.0422535211267595E-2</v>
      </c>
      <c r="O31">
        <f t="shared" si="24"/>
        <v>2.4647887323943601E-2</v>
      </c>
      <c r="P31">
        <f t="shared" si="25"/>
        <v>1.7605633999999998E-2</v>
      </c>
      <c r="Q31">
        <f t="shared" si="26"/>
        <v>4.92957746478873E-2</v>
      </c>
      <c r="R31">
        <f t="shared" si="19"/>
        <v>3.4037558704225333E-2</v>
      </c>
    </row>
    <row r="32" spans="1:20" x14ac:dyDescent="0.25">
      <c r="A32" t="s">
        <v>102</v>
      </c>
      <c r="B32">
        <f t="shared" si="8"/>
        <v>0</v>
      </c>
      <c r="C32">
        <f t="shared" si="9"/>
        <v>0</v>
      </c>
      <c r="D32">
        <f t="shared" si="10"/>
        <v>0</v>
      </c>
      <c r="E32">
        <f t="shared" si="11"/>
        <v>0</v>
      </c>
      <c r="F32">
        <f t="shared" si="12"/>
        <v>2.5821596309859137E-2</v>
      </c>
      <c r="G32">
        <f t="shared" si="20"/>
        <v>5.1643192619718276E-3</v>
      </c>
      <c r="K32" t="s">
        <v>87</v>
      </c>
      <c r="L32">
        <f t="shared" si="21"/>
        <v>5.6338028169014003E-2</v>
      </c>
      <c r="M32">
        <f t="shared" si="22"/>
        <v>3.1690140999999998E-2</v>
      </c>
      <c r="N32">
        <f t="shared" si="23"/>
        <v>5.6338028169014003E-2</v>
      </c>
      <c r="O32">
        <f t="shared" si="24"/>
        <v>5.2816901408450703E-2</v>
      </c>
      <c r="P32">
        <f t="shared" si="25"/>
        <v>6.3380281999999996E-2</v>
      </c>
      <c r="Q32">
        <f t="shared" si="26"/>
        <v>0.109154929577464</v>
      </c>
      <c r="R32">
        <f t="shared" si="19"/>
        <v>6.1619718387323795E-2</v>
      </c>
    </row>
    <row r="33" spans="1:18" x14ac:dyDescent="0.25">
      <c r="A33" t="s">
        <v>101</v>
      </c>
      <c r="B33">
        <f t="shared" si="8"/>
        <v>0</v>
      </c>
      <c r="C33">
        <f t="shared" si="9"/>
        <v>0</v>
      </c>
      <c r="D33">
        <f t="shared" si="10"/>
        <v>0</v>
      </c>
      <c r="E33">
        <f t="shared" si="11"/>
        <v>0</v>
      </c>
      <c r="F33">
        <f t="shared" si="12"/>
        <v>9.3896714413145271E-3</v>
      </c>
      <c r="G33">
        <f t="shared" si="20"/>
        <v>1.8779342882629055E-3</v>
      </c>
      <c r="K33" t="s">
        <v>93</v>
      </c>
      <c r="L33">
        <f t="shared" si="21"/>
        <v>1.4084507042253501E-2</v>
      </c>
      <c r="M33">
        <f t="shared" si="22"/>
        <v>7.0422540000000004E-3</v>
      </c>
      <c r="N33">
        <f t="shared" si="23"/>
        <v>3.5211267605633799E-3</v>
      </c>
      <c r="O33">
        <f t="shared" si="24"/>
        <v>0</v>
      </c>
      <c r="P33">
        <f t="shared" si="25"/>
        <v>7.0422540000000004E-3</v>
      </c>
      <c r="Q33">
        <f t="shared" si="26"/>
        <v>0</v>
      </c>
      <c r="R33">
        <f t="shared" si="19"/>
        <v>5.2816903004694804E-3</v>
      </c>
    </row>
    <row r="34" spans="1:18" x14ac:dyDescent="0.25">
      <c r="A34" t="s">
        <v>88</v>
      </c>
      <c r="B34">
        <f>(B11+I11+P11)/3</f>
        <v>2.9342723150234732E-2</v>
      </c>
      <c r="C34">
        <f t="shared" si="9"/>
        <v>3.0516432070422501E-2</v>
      </c>
      <c r="D34">
        <f t="shared" si="10"/>
        <v>5.8685446807511601E-3</v>
      </c>
      <c r="E34">
        <f t="shared" si="11"/>
        <v>1.6431924774647867E-2</v>
      </c>
      <c r="F34">
        <f t="shared" si="12"/>
        <v>7.1596244117370741E-2</v>
      </c>
      <c r="G34">
        <f t="shared" si="20"/>
        <v>3.0751173758685402E-2</v>
      </c>
      <c r="K34" t="s">
        <v>92</v>
      </c>
      <c r="L34">
        <f t="shared" si="21"/>
        <v>2.4647887323943601E-2</v>
      </c>
      <c r="M34">
        <f t="shared" si="22"/>
        <v>3.5211270000000002E-3</v>
      </c>
      <c r="N34">
        <f t="shared" si="23"/>
        <v>0.11267605633802801</v>
      </c>
      <c r="O34">
        <f t="shared" si="24"/>
        <v>0.102112676056338</v>
      </c>
      <c r="P34">
        <f t="shared" si="25"/>
        <v>0</v>
      </c>
      <c r="Q34">
        <f t="shared" si="26"/>
        <v>0.13380281690140799</v>
      </c>
      <c r="R34">
        <f t="shared" si="19"/>
        <v>6.2793427269952934E-2</v>
      </c>
    </row>
    <row r="35" spans="1:18" x14ac:dyDescent="0.25">
      <c r="A35" t="s">
        <v>89</v>
      </c>
      <c r="B35">
        <f t="shared" si="8"/>
        <v>3.7558685417840361E-2</v>
      </c>
      <c r="C35">
        <f t="shared" si="9"/>
        <v>3.0516431990610299E-2</v>
      </c>
      <c r="D35">
        <f t="shared" si="10"/>
        <v>2.6995305215962429E-2</v>
      </c>
      <c r="E35">
        <f t="shared" si="11"/>
        <v>3.1690140882629066E-2</v>
      </c>
      <c r="F35">
        <f t="shared" si="12"/>
        <v>0.10563380266666633</v>
      </c>
      <c r="G35">
        <f t="shared" si="20"/>
        <v>4.6478873234741695E-2</v>
      </c>
      <c r="K35" t="s">
        <v>94</v>
      </c>
      <c r="L35">
        <f t="shared" si="21"/>
        <v>0</v>
      </c>
      <c r="M35">
        <f t="shared" si="22"/>
        <v>1.0563380000000001E-2</v>
      </c>
      <c r="N35">
        <f t="shared" si="23"/>
        <v>5.2816901408450703E-2</v>
      </c>
      <c r="O35">
        <f t="shared" si="24"/>
        <v>4.92957746478873E-2</v>
      </c>
      <c r="P35">
        <f t="shared" si="25"/>
        <v>4.9295775E-2</v>
      </c>
      <c r="Q35">
        <f t="shared" si="26"/>
        <v>9.85915492957746E-2</v>
      </c>
      <c r="R35">
        <f t="shared" si="19"/>
        <v>4.3427230058685429E-2</v>
      </c>
    </row>
    <row r="36" spans="1:18" x14ac:dyDescent="0.25">
      <c r="A36" t="s">
        <v>87</v>
      </c>
      <c r="B36">
        <f t="shared" si="8"/>
        <v>4.8122065779342665E-2</v>
      </c>
      <c r="C36">
        <f t="shared" si="9"/>
        <v>7.5117370995304897E-2</v>
      </c>
      <c r="D36">
        <f t="shared" si="10"/>
        <v>5.6338028258215933E-2</v>
      </c>
      <c r="E36">
        <f t="shared" si="11"/>
        <v>6.2206572619718264E-2</v>
      </c>
      <c r="F36">
        <f t="shared" si="12"/>
        <v>0.10446009389201856</v>
      </c>
      <c r="G36">
        <f t="shared" si="20"/>
        <v>6.924882630892007E-2</v>
      </c>
      <c r="K36" t="s">
        <v>90</v>
      </c>
      <c r="L36">
        <f t="shared" ref="L36:L37" si="27">B19</f>
        <v>0</v>
      </c>
      <c r="M36">
        <f t="shared" ref="M36:M37" si="28">I19</f>
        <v>1.4084507E-2</v>
      </c>
      <c r="N36">
        <f t="shared" ref="N36:N37" si="29">P19</f>
        <v>5.2816901408450703E-2</v>
      </c>
      <c r="O36">
        <f t="shared" ref="O36:O37" si="30">C19</f>
        <v>2.1126760563380202E-2</v>
      </c>
      <c r="P36">
        <f t="shared" ref="P36:P37" si="31">J19</f>
        <v>3.1690140999999998E-2</v>
      </c>
      <c r="Q36">
        <f t="shared" ref="Q36:Q37" si="32">Q19</f>
        <v>3.1690140845070401E-2</v>
      </c>
      <c r="R36">
        <f t="shared" si="19"/>
        <v>2.5234741802816884E-2</v>
      </c>
    </row>
    <row r="37" spans="1:18" x14ac:dyDescent="0.25">
      <c r="A37" t="s">
        <v>93</v>
      </c>
      <c r="B37">
        <f t="shared" si="8"/>
        <v>8.2159626009389603E-3</v>
      </c>
      <c r="C37">
        <f t="shared" si="9"/>
        <v>2.347418E-3</v>
      </c>
      <c r="D37">
        <f t="shared" si="10"/>
        <v>1.173708936150232E-2</v>
      </c>
      <c r="E37">
        <f t="shared" si="11"/>
        <v>7.0422536009389601E-3</v>
      </c>
      <c r="F37">
        <f t="shared" si="12"/>
        <v>3.5211269201877934E-3</v>
      </c>
      <c r="G37">
        <f t="shared" si="20"/>
        <v>6.5727700967136062E-3</v>
      </c>
      <c r="K37" t="s">
        <v>91</v>
      </c>
      <c r="L37">
        <f t="shared" si="27"/>
        <v>4.5774647887323897E-2</v>
      </c>
      <c r="M37">
        <f t="shared" si="28"/>
        <v>4.5774648000000001E-2</v>
      </c>
      <c r="N37">
        <f t="shared" si="29"/>
        <v>4.92957746478873E-2</v>
      </c>
      <c r="O37">
        <f t="shared" si="30"/>
        <v>3.8732394366197097E-2</v>
      </c>
      <c r="P37">
        <f t="shared" si="31"/>
        <v>5.2816900999999999E-2</v>
      </c>
      <c r="Q37">
        <f t="shared" si="32"/>
        <v>2.8169014084507001E-2</v>
      </c>
      <c r="R37">
        <f t="shared" si="19"/>
        <v>4.3427229997652549E-2</v>
      </c>
    </row>
    <row r="38" spans="1:18" x14ac:dyDescent="0.25">
      <c r="A38" t="s">
        <v>92</v>
      </c>
      <c r="B38">
        <f t="shared" si="8"/>
        <v>4.6948356887323871E-2</v>
      </c>
      <c r="C38">
        <f t="shared" si="9"/>
        <v>7.8638497652582004E-2</v>
      </c>
      <c r="D38">
        <f t="shared" si="10"/>
        <v>4.5774647967135963E-2</v>
      </c>
      <c r="E38">
        <f t="shared" si="11"/>
        <v>7.8638497718309622E-2</v>
      </c>
      <c r="F38">
        <f t="shared" si="12"/>
        <v>8.098591561032846E-2</v>
      </c>
      <c r="G38">
        <f t="shared" si="20"/>
        <v>6.6197183167135992E-2</v>
      </c>
      <c r="K38" t="s">
        <v>171</v>
      </c>
      <c r="L38">
        <f>AVERAGE(L27:L37)</f>
        <v>4.0973111395646522E-2</v>
      </c>
      <c r="M38">
        <f t="shared" ref="M38:Q38" si="33">AVERAGE(M27:M37)</f>
        <v>2.7528809272727273E-2</v>
      </c>
      <c r="N38">
        <f t="shared" si="33"/>
        <v>6.3380281690140775E-2</v>
      </c>
      <c r="O38">
        <f t="shared" si="33"/>
        <v>7.2023047375159979E-2</v>
      </c>
      <c r="P38">
        <f t="shared" si="33"/>
        <v>5.5377721000000005E-2</v>
      </c>
      <c r="Q38">
        <f t="shared" si="33"/>
        <v>8.3226632522406904E-2</v>
      </c>
      <c r="R38">
        <f>AVERAGE(L27:Q37)</f>
        <v>5.7084933876013572E-2</v>
      </c>
    </row>
    <row r="39" spans="1:18" x14ac:dyDescent="0.25">
      <c r="A39" t="s">
        <v>94</v>
      </c>
      <c r="B39">
        <f>(B16+I16+P16)/3</f>
        <v>2.1126760469483568E-2</v>
      </c>
      <c r="C39">
        <f t="shared" si="9"/>
        <v>6.57276996478873E-2</v>
      </c>
      <c r="D39">
        <f t="shared" si="10"/>
        <v>3.0516431830985898E-2</v>
      </c>
      <c r="E39">
        <f t="shared" si="11"/>
        <v>6.2206572661971736E-2</v>
      </c>
      <c r="F39">
        <f t="shared" si="12"/>
        <v>8.9201877826290674E-2</v>
      </c>
      <c r="G39">
        <f t="shared" si="20"/>
        <v>5.3755868487323832E-2</v>
      </c>
    </row>
    <row r="40" spans="1:18" x14ac:dyDescent="0.25">
      <c r="A40" t="s">
        <v>96</v>
      </c>
      <c r="B40">
        <f t="shared" si="8"/>
        <v>0</v>
      </c>
      <c r="C40">
        <f t="shared" si="9"/>
        <v>0</v>
      </c>
      <c r="D40">
        <f t="shared" si="10"/>
        <v>0</v>
      </c>
      <c r="E40">
        <f t="shared" si="11"/>
        <v>0</v>
      </c>
      <c r="F40">
        <f t="shared" si="12"/>
        <v>3.0516431924882625E-2</v>
      </c>
      <c r="G40">
        <f t="shared" si="20"/>
        <v>6.1032863849765249E-3</v>
      </c>
    </row>
    <row r="41" spans="1:18" x14ac:dyDescent="0.25">
      <c r="A41" t="s">
        <v>97</v>
      </c>
      <c r="B41">
        <f t="shared" si="8"/>
        <v>0</v>
      </c>
      <c r="C41">
        <f t="shared" si="9"/>
        <v>0</v>
      </c>
      <c r="D41">
        <f t="shared" si="10"/>
        <v>0</v>
      </c>
      <c r="E41">
        <f t="shared" si="11"/>
        <v>0</v>
      </c>
      <c r="F41">
        <f t="shared" si="12"/>
        <v>7.5117370849765233E-2</v>
      </c>
      <c r="G41">
        <f t="shared" si="20"/>
        <v>1.5023474169953047E-2</v>
      </c>
    </row>
    <row r="42" spans="1:18" x14ac:dyDescent="0.25">
      <c r="A42" t="s">
        <v>90</v>
      </c>
      <c r="B42">
        <f t="shared" si="8"/>
        <v>2.2300469469483566E-2</v>
      </c>
      <c r="C42">
        <f t="shared" si="9"/>
        <v>2.8169014136150205E-2</v>
      </c>
      <c r="D42">
        <f t="shared" si="10"/>
        <v>1.8779342882629068E-2</v>
      </c>
      <c r="E42">
        <f t="shared" si="11"/>
        <v>1.6431924788732389E-2</v>
      </c>
      <c r="F42">
        <f t="shared" si="12"/>
        <v>3.05164319107981E-2</v>
      </c>
      <c r="G42">
        <f t="shared" si="20"/>
        <v>2.3239436637558668E-2</v>
      </c>
    </row>
    <row r="43" spans="1:18" x14ac:dyDescent="0.25">
      <c r="A43" t="s">
        <v>91</v>
      </c>
      <c r="B43">
        <f t="shared" si="8"/>
        <v>4.6948356845070399E-2</v>
      </c>
      <c r="C43">
        <f t="shared" si="9"/>
        <v>3.9906103150234705E-2</v>
      </c>
      <c r="D43">
        <f t="shared" si="10"/>
        <v>7.0422535075117365E-2</v>
      </c>
      <c r="E43">
        <f t="shared" si="11"/>
        <v>4.225352120657274E-2</v>
      </c>
      <c r="F43">
        <f t="shared" si="12"/>
        <v>9.2723004812206453E-2</v>
      </c>
      <c r="G43">
        <f t="shared" si="20"/>
        <v>5.8450704217840335E-2</v>
      </c>
    </row>
    <row r="44" spans="1:18" x14ac:dyDescent="0.25">
      <c r="A44" t="s">
        <v>171</v>
      </c>
      <c r="B44">
        <f>AVERAGE(B26:B28,B34:B39,B42:B43)</f>
        <v>4.3960734119504859E-2</v>
      </c>
      <c r="C44">
        <f t="shared" ref="C44:E44" si="34">AVERAGE(C26:C28,C34:C39,C42:C43)</f>
        <v>7.0209133632522291E-2</v>
      </c>
      <c r="D44">
        <f t="shared" si="34"/>
        <v>7.0315834421681489E-2</v>
      </c>
      <c r="E44">
        <f t="shared" si="34"/>
        <v>7.4690567633375921E-2</v>
      </c>
      <c r="F44">
        <f>AVERAGE(F26:F43)</f>
        <v>8.1246739728221065E-2</v>
      </c>
      <c r="G44">
        <f>AVERAGE(B26:F43)</f>
        <v>4.7926447588732324E-2</v>
      </c>
    </row>
  </sheetData>
  <sortState xmlns:xlrd2="http://schemas.microsoft.com/office/spreadsheetml/2017/richdata2" ref="K27:K37">
    <sortCondition ref="K27:K37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AF565-E26F-403D-90E5-E1EE0F5C798E}">
  <dimension ref="A3:H23"/>
  <sheetViews>
    <sheetView workbookViewId="0">
      <selection activeCell="C22" sqref="C22:F22"/>
    </sheetView>
  </sheetViews>
  <sheetFormatPr defaultRowHeight="13.8" x14ac:dyDescent="0.25"/>
  <cols>
    <col min="1" max="1" width="21.88671875" bestFit="1" customWidth="1"/>
    <col min="2" max="2" width="18.109375" bestFit="1" customWidth="1"/>
    <col min="3" max="7" width="7.5546875" bestFit="1" customWidth="1"/>
    <col min="8" max="8" width="5.109375" bestFit="1" customWidth="1"/>
    <col min="9" max="9" width="4.44140625" bestFit="1" customWidth="1"/>
  </cols>
  <sheetData>
    <row r="3" spans="1:8" x14ac:dyDescent="0.25">
      <c r="A3" s="1" t="s">
        <v>58</v>
      </c>
      <c r="C3" s="1" t="s">
        <v>4</v>
      </c>
      <c r="D3" s="1" t="s">
        <v>2</v>
      </c>
    </row>
    <row r="4" spans="1:8" x14ac:dyDescent="0.25">
      <c r="C4">
        <v>1</v>
      </c>
      <c r="E4">
        <v>2</v>
      </c>
      <c r="G4">
        <v>3</v>
      </c>
      <c r="H4" t="s">
        <v>57</v>
      </c>
    </row>
    <row r="5" spans="1:8" x14ac:dyDescent="0.25">
      <c r="A5" s="1" t="s">
        <v>177</v>
      </c>
      <c r="B5" s="1" t="s">
        <v>1</v>
      </c>
      <c r="C5" t="s">
        <v>15</v>
      </c>
      <c r="D5" t="s">
        <v>11</v>
      </c>
      <c r="E5" t="s">
        <v>15</v>
      </c>
      <c r="F5" t="s">
        <v>11</v>
      </c>
      <c r="G5" t="s">
        <v>11</v>
      </c>
    </row>
    <row r="6" spans="1:8" x14ac:dyDescent="0.25">
      <c r="A6" t="s">
        <v>179</v>
      </c>
      <c r="B6" t="s">
        <v>149</v>
      </c>
      <c r="C6" s="2">
        <v>7.7464788732394305E-2</v>
      </c>
      <c r="D6" s="2">
        <v>0.19718309859154901</v>
      </c>
      <c r="E6" s="2">
        <v>0.12676056338028099</v>
      </c>
      <c r="F6" s="2">
        <v>0.190140845070422</v>
      </c>
      <c r="G6" s="2">
        <v>0.183098591549295</v>
      </c>
      <c r="H6" s="2">
        <v>0.15492957746478825</v>
      </c>
    </row>
    <row r="7" spans="1:8" x14ac:dyDescent="0.25">
      <c r="B7" t="s">
        <v>150</v>
      </c>
      <c r="C7" s="2">
        <v>0.161971830985915</v>
      </c>
      <c r="D7" s="2">
        <v>0.27112676056337998</v>
      </c>
      <c r="E7" s="2">
        <v>0.411971830985915</v>
      </c>
      <c r="F7" s="2">
        <v>0.338028169014084</v>
      </c>
      <c r="G7" s="2">
        <v>0.43309859154929498</v>
      </c>
      <c r="H7" s="2">
        <v>0.32323943661971777</v>
      </c>
    </row>
    <row r="8" spans="1:8" x14ac:dyDescent="0.25">
      <c r="B8" t="s">
        <v>151</v>
      </c>
      <c r="C8" s="2">
        <v>2.4647887323943601E-2</v>
      </c>
      <c r="D8" s="2">
        <v>2.4647887323943601E-2</v>
      </c>
      <c r="E8" s="2">
        <v>2.4647887323943601E-2</v>
      </c>
      <c r="F8" s="2">
        <v>2.4647887323943601E-2</v>
      </c>
      <c r="G8" s="2">
        <v>5.9859154929577399E-2</v>
      </c>
      <c r="H8" s="2">
        <v>3.1690140845070359E-2</v>
      </c>
    </row>
    <row r="9" spans="1:8" x14ac:dyDescent="0.25">
      <c r="A9" t="s">
        <v>178</v>
      </c>
      <c r="B9" t="s">
        <v>10</v>
      </c>
      <c r="C9" s="2"/>
      <c r="D9" s="2"/>
      <c r="E9" s="2"/>
      <c r="F9" s="2"/>
      <c r="G9" s="2">
        <v>1.0563380281690101E-2</v>
      </c>
      <c r="H9" s="2">
        <v>1.0563380281690101E-2</v>
      </c>
    </row>
    <row r="10" spans="1:8" x14ac:dyDescent="0.25">
      <c r="B10" t="s">
        <v>61</v>
      </c>
      <c r="C10" s="2"/>
      <c r="D10" s="2"/>
      <c r="E10" s="2"/>
      <c r="F10" s="2"/>
      <c r="G10" s="2">
        <v>0</v>
      </c>
      <c r="H10" s="2">
        <v>0</v>
      </c>
    </row>
    <row r="11" spans="1:8" x14ac:dyDescent="0.25">
      <c r="B11" t="s">
        <v>12</v>
      </c>
      <c r="C11" s="2"/>
      <c r="D11" s="2"/>
      <c r="E11" s="2"/>
      <c r="F11" s="2"/>
      <c r="G11" s="2">
        <v>3.1690140845070401E-2</v>
      </c>
      <c r="H11" s="2">
        <v>3.1690140845070401E-2</v>
      </c>
    </row>
    <row r="12" spans="1:8" x14ac:dyDescent="0.25">
      <c r="B12" t="s">
        <v>13</v>
      </c>
      <c r="C12" s="2"/>
      <c r="D12" s="2"/>
      <c r="E12" s="2"/>
      <c r="F12" s="2"/>
      <c r="G12" s="2">
        <v>3.5211267605633799E-3</v>
      </c>
      <c r="H12" s="2">
        <v>3.5211267605633799E-3</v>
      </c>
    </row>
    <row r="13" spans="1:8" x14ac:dyDescent="0.25">
      <c r="B13" t="s">
        <v>14</v>
      </c>
      <c r="C13" s="2">
        <v>3.1690140845070401E-2</v>
      </c>
      <c r="D13" s="2">
        <v>1.0563380281690101E-2</v>
      </c>
      <c r="E13" s="2">
        <v>3.5211267605633799E-3</v>
      </c>
      <c r="F13" s="2">
        <v>2.4647887323943601E-2</v>
      </c>
      <c r="G13" s="2">
        <v>6.6901408450704206E-2</v>
      </c>
      <c r="H13" s="2">
        <v>2.746478873239434E-2</v>
      </c>
    </row>
    <row r="14" spans="1:8" x14ac:dyDescent="0.25">
      <c r="B14" t="s">
        <v>20</v>
      </c>
      <c r="C14" s="2">
        <v>1.4084507042253501E-2</v>
      </c>
      <c r="D14" s="2">
        <v>2.4647887323943601E-2</v>
      </c>
      <c r="E14" s="2">
        <v>1.4084507042253501E-2</v>
      </c>
      <c r="F14" s="2">
        <v>2.4647887323943601E-2</v>
      </c>
      <c r="G14" s="2">
        <v>0.109154929577464</v>
      </c>
      <c r="H14" s="2">
        <v>3.7323943661971642E-2</v>
      </c>
    </row>
    <row r="15" spans="1:8" x14ac:dyDescent="0.25">
      <c r="B15" t="s">
        <v>25</v>
      </c>
      <c r="C15" s="2">
        <v>5.6338028169014003E-2</v>
      </c>
      <c r="D15" s="2">
        <v>5.2816901408450703E-2</v>
      </c>
      <c r="E15" s="2">
        <v>1.7605633802816899E-2</v>
      </c>
      <c r="F15" s="2">
        <v>2.4647887323943601E-2</v>
      </c>
      <c r="G15" s="2">
        <v>0.14436619718309801</v>
      </c>
      <c r="H15" s="2">
        <v>5.9154929577464641E-2</v>
      </c>
    </row>
    <row r="16" spans="1:8" x14ac:dyDescent="0.25">
      <c r="B16" t="s">
        <v>30</v>
      </c>
      <c r="C16" s="2">
        <v>1.4084507042253501E-2</v>
      </c>
      <c r="D16" s="2">
        <v>0</v>
      </c>
      <c r="E16" s="2">
        <v>7.0422535211267599E-3</v>
      </c>
      <c r="F16" s="2">
        <v>3.5211267605633799E-3</v>
      </c>
      <c r="G16" s="2">
        <v>0</v>
      </c>
      <c r="H16" s="2">
        <v>4.9295774647887276E-3</v>
      </c>
    </row>
    <row r="17" spans="1:8" x14ac:dyDescent="0.25">
      <c r="B17" t="s">
        <v>35</v>
      </c>
      <c r="C17" s="2">
        <v>2.4647887323943601E-2</v>
      </c>
      <c r="D17" s="2">
        <v>0.102112676056338</v>
      </c>
      <c r="E17" s="2">
        <v>1.7605633802816899E-2</v>
      </c>
      <c r="F17" s="2">
        <v>1.7605633802816899E-2</v>
      </c>
      <c r="G17" s="2">
        <v>5.9859154929577399E-2</v>
      </c>
      <c r="H17" s="2">
        <v>4.4366197183098567E-2</v>
      </c>
    </row>
    <row r="18" spans="1:8" x14ac:dyDescent="0.25">
      <c r="B18" t="s">
        <v>40</v>
      </c>
      <c r="C18" s="2"/>
      <c r="D18" s="2">
        <v>4.92957746478873E-2</v>
      </c>
      <c r="E18" s="2">
        <v>0</v>
      </c>
      <c r="F18" s="2">
        <v>2.1126760563380202E-2</v>
      </c>
      <c r="G18" s="2">
        <v>0.12676056338028099</v>
      </c>
      <c r="H18" s="2">
        <v>4.9295774647887119E-2</v>
      </c>
    </row>
    <row r="19" spans="1:8" x14ac:dyDescent="0.25">
      <c r="B19" t="s">
        <v>45</v>
      </c>
      <c r="C19" s="2"/>
      <c r="D19" s="2"/>
      <c r="E19" s="2"/>
      <c r="F19" s="2"/>
      <c r="G19" s="2">
        <v>3.5211267605633799E-3</v>
      </c>
      <c r="H19" s="2">
        <v>3.5211267605633799E-3</v>
      </c>
    </row>
    <row r="20" spans="1:8" x14ac:dyDescent="0.25">
      <c r="B20" t="s">
        <v>46</v>
      </c>
      <c r="C20" s="2"/>
      <c r="D20" s="2"/>
      <c r="E20" s="2"/>
      <c r="F20" s="2"/>
      <c r="G20" s="2">
        <v>8.8028169014084501E-2</v>
      </c>
      <c r="H20" s="2">
        <v>8.8028169014084501E-2</v>
      </c>
    </row>
    <row r="21" spans="1:8" x14ac:dyDescent="0.25">
      <c r="B21" t="s">
        <v>47</v>
      </c>
      <c r="C21" s="2">
        <v>0</v>
      </c>
      <c r="D21" s="2">
        <v>2.1126760563380202E-2</v>
      </c>
      <c r="E21" s="2">
        <v>1.0563380281690101E-2</v>
      </c>
      <c r="F21" s="2">
        <v>3.1690140845070401E-2</v>
      </c>
      <c r="G21" s="2">
        <v>5.2816901408450703E-2</v>
      </c>
      <c r="H21" s="2">
        <v>2.3239436619718282E-2</v>
      </c>
    </row>
    <row r="22" spans="1:8" x14ac:dyDescent="0.25">
      <c r="B22" t="s">
        <v>52</v>
      </c>
      <c r="C22" s="2">
        <v>4.5774647887323897E-2</v>
      </c>
      <c r="D22" s="2">
        <v>3.8732394366197097E-2</v>
      </c>
      <c r="E22" s="2">
        <v>8.8028169014084501E-2</v>
      </c>
      <c r="F22" s="2">
        <v>6.3380281690140802E-2</v>
      </c>
      <c r="G22" s="2">
        <v>0.15140845070422501</v>
      </c>
      <c r="H22" s="2">
        <v>7.7464788732394263E-2</v>
      </c>
    </row>
    <row r="23" spans="1:8" x14ac:dyDescent="0.25">
      <c r="A23" t="s">
        <v>57</v>
      </c>
      <c r="C23" s="2">
        <v>4.5070422535211187E-2</v>
      </c>
      <c r="D23" s="2">
        <v>7.2023047375159979E-2</v>
      </c>
      <c r="E23" s="2">
        <v>6.5620998719590151E-2</v>
      </c>
      <c r="F23" s="2">
        <v>6.9462227912932009E-2</v>
      </c>
      <c r="G23" s="2">
        <v>8.9685169842584692E-2</v>
      </c>
      <c r="H23" s="2">
        <v>7.0892018779342564E-2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D66DC-30BA-4A9A-A474-64666A0F55EA}">
  <dimension ref="A1:J61"/>
  <sheetViews>
    <sheetView topLeftCell="A19" workbookViewId="0">
      <selection activeCell="Q40" sqref="Q40"/>
    </sheetView>
  </sheetViews>
  <sheetFormatPr defaultRowHeight="13.8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177</v>
      </c>
    </row>
    <row r="2" spans="1:10" x14ac:dyDescent="0.25">
      <c r="A2" t="s">
        <v>103</v>
      </c>
      <c r="B2" t="s">
        <v>10</v>
      </c>
      <c r="C2" t="s">
        <v>11</v>
      </c>
      <c r="D2" t="s">
        <v>104</v>
      </c>
      <c r="E2">
        <v>3</v>
      </c>
      <c r="F2">
        <v>3</v>
      </c>
      <c r="G2">
        <v>281</v>
      </c>
      <c r="H2">
        <v>23</v>
      </c>
      <c r="I2">
        <v>1.0563380281690101E-2</v>
      </c>
      <c r="J2" t="s">
        <v>178</v>
      </c>
    </row>
    <row r="3" spans="1:10" x14ac:dyDescent="0.25">
      <c r="A3" t="s">
        <v>103</v>
      </c>
      <c r="B3" t="s">
        <v>61</v>
      </c>
      <c r="C3" t="s">
        <v>11</v>
      </c>
      <c r="D3" t="s">
        <v>105</v>
      </c>
      <c r="E3">
        <v>3</v>
      </c>
      <c r="F3">
        <v>0</v>
      </c>
      <c r="G3">
        <v>284</v>
      </c>
      <c r="H3">
        <v>0</v>
      </c>
      <c r="I3">
        <v>0</v>
      </c>
      <c r="J3" t="s">
        <v>178</v>
      </c>
    </row>
    <row r="4" spans="1:10" x14ac:dyDescent="0.25">
      <c r="A4" t="s">
        <v>103</v>
      </c>
      <c r="B4" t="s">
        <v>12</v>
      </c>
      <c r="C4" t="s">
        <v>11</v>
      </c>
      <c r="D4" t="s">
        <v>106</v>
      </c>
      <c r="E4">
        <v>3</v>
      </c>
      <c r="F4">
        <v>9</v>
      </c>
      <c r="G4">
        <v>275</v>
      </c>
      <c r="H4">
        <v>98</v>
      </c>
      <c r="I4">
        <v>3.1690140845070401E-2</v>
      </c>
      <c r="J4" t="s">
        <v>178</v>
      </c>
    </row>
    <row r="5" spans="1:10" x14ac:dyDescent="0.25">
      <c r="A5" t="s">
        <v>103</v>
      </c>
      <c r="B5" t="s">
        <v>13</v>
      </c>
      <c r="C5" t="s">
        <v>11</v>
      </c>
      <c r="D5" t="s">
        <v>107</v>
      </c>
      <c r="E5">
        <v>3</v>
      </c>
      <c r="F5">
        <v>1</v>
      </c>
      <c r="G5">
        <v>283</v>
      </c>
      <c r="H5">
        <v>25</v>
      </c>
      <c r="I5">
        <v>3.5211267605633799E-3</v>
      </c>
      <c r="J5" t="s">
        <v>178</v>
      </c>
    </row>
    <row r="6" spans="1:10" x14ac:dyDescent="0.25">
      <c r="A6" t="s">
        <v>103</v>
      </c>
      <c r="B6" t="s">
        <v>14</v>
      </c>
      <c r="C6" t="s">
        <v>15</v>
      </c>
      <c r="D6" t="s">
        <v>108</v>
      </c>
      <c r="E6">
        <v>1</v>
      </c>
      <c r="F6">
        <v>9</v>
      </c>
      <c r="G6">
        <v>275</v>
      </c>
      <c r="H6">
        <v>37</v>
      </c>
      <c r="I6">
        <v>3.1690140845070401E-2</v>
      </c>
      <c r="J6" t="s">
        <v>178</v>
      </c>
    </row>
    <row r="7" spans="1:10" x14ac:dyDescent="0.25">
      <c r="A7" t="s">
        <v>103</v>
      </c>
      <c r="B7" t="s">
        <v>14</v>
      </c>
      <c r="C7" t="s">
        <v>15</v>
      </c>
      <c r="D7" t="s">
        <v>109</v>
      </c>
      <c r="E7">
        <v>2</v>
      </c>
      <c r="F7">
        <v>1</v>
      </c>
      <c r="G7">
        <v>283</v>
      </c>
      <c r="H7">
        <v>6</v>
      </c>
      <c r="I7">
        <v>3.5211267605633799E-3</v>
      </c>
      <c r="J7" t="s">
        <v>178</v>
      </c>
    </row>
    <row r="8" spans="1:10" x14ac:dyDescent="0.25">
      <c r="A8" t="s">
        <v>103</v>
      </c>
      <c r="B8" t="s">
        <v>14</v>
      </c>
      <c r="C8" t="s">
        <v>11</v>
      </c>
      <c r="D8" t="s">
        <v>110</v>
      </c>
      <c r="E8">
        <v>1</v>
      </c>
      <c r="F8">
        <v>3</v>
      </c>
      <c r="G8">
        <v>281</v>
      </c>
      <c r="H8">
        <v>31</v>
      </c>
      <c r="I8">
        <v>1.0563380281690101E-2</v>
      </c>
      <c r="J8" t="s">
        <v>178</v>
      </c>
    </row>
    <row r="9" spans="1:10" x14ac:dyDescent="0.25">
      <c r="A9" t="s">
        <v>103</v>
      </c>
      <c r="B9" t="s">
        <v>14</v>
      </c>
      <c r="C9" t="s">
        <v>11</v>
      </c>
      <c r="D9" t="s">
        <v>111</v>
      </c>
      <c r="E9">
        <v>2</v>
      </c>
      <c r="F9">
        <v>7</v>
      </c>
      <c r="G9">
        <v>277</v>
      </c>
      <c r="H9">
        <v>37</v>
      </c>
      <c r="I9">
        <v>2.4647887323943601E-2</v>
      </c>
      <c r="J9" t="s">
        <v>178</v>
      </c>
    </row>
    <row r="10" spans="1:10" x14ac:dyDescent="0.25">
      <c r="A10" t="s">
        <v>103</v>
      </c>
      <c r="B10" t="s">
        <v>14</v>
      </c>
      <c r="C10" t="s">
        <v>11</v>
      </c>
      <c r="D10" t="s">
        <v>112</v>
      </c>
      <c r="E10">
        <v>3</v>
      </c>
      <c r="F10">
        <v>19</v>
      </c>
      <c r="G10">
        <v>265</v>
      </c>
      <c r="H10">
        <v>152</v>
      </c>
      <c r="I10">
        <v>6.6901408450704206E-2</v>
      </c>
      <c r="J10" t="s">
        <v>178</v>
      </c>
    </row>
    <row r="11" spans="1:10" x14ac:dyDescent="0.25">
      <c r="A11" t="s">
        <v>103</v>
      </c>
      <c r="B11" t="s">
        <v>20</v>
      </c>
      <c r="C11" t="s">
        <v>15</v>
      </c>
      <c r="D11" t="s">
        <v>113</v>
      </c>
      <c r="E11">
        <v>1</v>
      </c>
      <c r="F11">
        <v>4</v>
      </c>
      <c r="G11">
        <v>280</v>
      </c>
      <c r="H11">
        <v>27</v>
      </c>
      <c r="I11">
        <v>1.4084507042253501E-2</v>
      </c>
      <c r="J11" t="s">
        <v>178</v>
      </c>
    </row>
    <row r="12" spans="1:10" x14ac:dyDescent="0.25">
      <c r="A12" t="s">
        <v>103</v>
      </c>
      <c r="B12" t="s">
        <v>20</v>
      </c>
      <c r="C12" t="s">
        <v>15</v>
      </c>
      <c r="D12" t="s">
        <v>114</v>
      </c>
      <c r="E12">
        <v>2</v>
      </c>
      <c r="F12">
        <v>4</v>
      </c>
      <c r="G12">
        <v>280</v>
      </c>
      <c r="H12">
        <v>28</v>
      </c>
      <c r="I12">
        <v>1.4084507042253501E-2</v>
      </c>
      <c r="J12" t="s">
        <v>178</v>
      </c>
    </row>
    <row r="13" spans="1:10" x14ac:dyDescent="0.25">
      <c r="A13" t="s">
        <v>103</v>
      </c>
      <c r="B13" t="s">
        <v>20</v>
      </c>
      <c r="C13" t="s">
        <v>11</v>
      </c>
      <c r="D13" t="s">
        <v>115</v>
      </c>
      <c r="E13">
        <v>1</v>
      </c>
      <c r="F13">
        <v>7</v>
      </c>
      <c r="G13">
        <v>277</v>
      </c>
      <c r="H13">
        <v>37</v>
      </c>
      <c r="I13">
        <v>2.4647887323943601E-2</v>
      </c>
      <c r="J13" t="s">
        <v>178</v>
      </c>
    </row>
    <row r="14" spans="1:10" x14ac:dyDescent="0.25">
      <c r="A14" t="s">
        <v>103</v>
      </c>
      <c r="B14" t="s">
        <v>20</v>
      </c>
      <c r="C14" t="s">
        <v>11</v>
      </c>
      <c r="D14" t="s">
        <v>116</v>
      </c>
      <c r="E14">
        <v>2</v>
      </c>
      <c r="F14">
        <v>7</v>
      </c>
      <c r="G14">
        <v>277</v>
      </c>
      <c r="H14">
        <v>37</v>
      </c>
      <c r="I14">
        <v>2.4647887323943601E-2</v>
      </c>
      <c r="J14" t="s">
        <v>178</v>
      </c>
    </row>
    <row r="15" spans="1:10" x14ac:dyDescent="0.25">
      <c r="A15" t="s">
        <v>103</v>
      </c>
      <c r="B15" t="s">
        <v>20</v>
      </c>
      <c r="C15" t="s">
        <v>11</v>
      </c>
      <c r="D15" t="s">
        <v>117</v>
      </c>
      <c r="E15">
        <v>3</v>
      </c>
      <c r="F15">
        <v>31</v>
      </c>
      <c r="G15">
        <v>253</v>
      </c>
      <c r="H15">
        <v>167</v>
      </c>
      <c r="I15">
        <v>0.109154929577464</v>
      </c>
      <c r="J15" t="s">
        <v>178</v>
      </c>
    </row>
    <row r="16" spans="1:10" x14ac:dyDescent="0.25">
      <c r="A16" t="s">
        <v>103</v>
      </c>
      <c r="B16" t="s">
        <v>25</v>
      </c>
      <c r="C16" t="s">
        <v>15</v>
      </c>
      <c r="D16" t="s">
        <v>118</v>
      </c>
      <c r="E16">
        <v>1</v>
      </c>
      <c r="F16">
        <v>16</v>
      </c>
      <c r="G16">
        <v>268</v>
      </c>
      <c r="H16">
        <v>67</v>
      </c>
      <c r="I16">
        <v>5.6338028169014003E-2</v>
      </c>
      <c r="J16" t="s">
        <v>178</v>
      </c>
    </row>
    <row r="17" spans="1:10" x14ac:dyDescent="0.25">
      <c r="A17" t="s">
        <v>103</v>
      </c>
      <c r="B17" t="s">
        <v>25</v>
      </c>
      <c r="C17" t="s">
        <v>15</v>
      </c>
      <c r="D17" t="s">
        <v>119</v>
      </c>
      <c r="E17">
        <v>2</v>
      </c>
      <c r="F17">
        <v>5</v>
      </c>
      <c r="G17">
        <v>279</v>
      </c>
      <c r="H17">
        <v>62</v>
      </c>
      <c r="I17">
        <v>1.7605633802816899E-2</v>
      </c>
      <c r="J17" t="s">
        <v>178</v>
      </c>
    </row>
    <row r="18" spans="1:10" x14ac:dyDescent="0.25">
      <c r="A18" t="s">
        <v>103</v>
      </c>
      <c r="B18" t="s">
        <v>25</v>
      </c>
      <c r="C18" t="s">
        <v>11</v>
      </c>
      <c r="D18" t="s">
        <v>120</v>
      </c>
      <c r="E18">
        <v>1</v>
      </c>
      <c r="F18">
        <v>15</v>
      </c>
      <c r="G18">
        <v>269</v>
      </c>
      <c r="H18">
        <v>105</v>
      </c>
      <c r="I18">
        <v>5.2816901408450703E-2</v>
      </c>
      <c r="J18" t="s">
        <v>178</v>
      </c>
    </row>
    <row r="19" spans="1:10" x14ac:dyDescent="0.25">
      <c r="A19" t="s">
        <v>103</v>
      </c>
      <c r="B19" t="s">
        <v>25</v>
      </c>
      <c r="C19" t="s">
        <v>11</v>
      </c>
      <c r="D19" t="s">
        <v>121</v>
      </c>
      <c r="E19">
        <v>2</v>
      </c>
      <c r="F19">
        <v>7</v>
      </c>
      <c r="G19">
        <v>277</v>
      </c>
      <c r="H19">
        <v>47</v>
      </c>
      <c r="I19">
        <v>2.4647887323943601E-2</v>
      </c>
      <c r="J19" t="s">
        <v>178</v>
      </c>
    </row>
    <row r="20" spans="1:10" x14ac:dyDescent="0.25">
      <c r="A20" t="s">
        <v>103</v>
      </c>
      <c r="B20" t="s">
        <v>25</v>
      </c>
      <c r="C20" t="s">
        <v>11</v>
      </c>
      <c r="D20" t="s">
        <v>122</v>
      </c>
      <c r="E20">
        <v>3</v>
      </c>
      <c r="F20">
        <v>41</v>
      </c>
      <c r="G20">
        <v>243</v>
      </c>
      <c r="H20">
        <v>162</v>
      </c>
      <c r="I20">
        <v>0.14436619718309801</v>
      </c>
      <c r="J20" t="s">
        <v>178</v>
      </c>
    </row>
    <row r="21" spans="1:10" x14ac:dyDescent="0.25">
      <c r="A21" t="s">
        <v>103</v>
      </c>
      <c r="B21" t="s">
        <v>30</v>
      </c>
      <c r="C21" t="s">
        <v>15</v>
      </c>
      <c r="D21" t="s">
        <v>123</v>
      </c>
      <c r="E21">
        <v>1</v>
      </c>
      <c r="F21">
        <v>4</v>
      </c>
      <c r="G21">
        <v>280</v>
      </c>
      <c r="H21">
        <v>31</v>
      </c>
      <c r="I21">
        <v>1.4084507042253501E-2</v>
      </c>
      <c r="J21" t="s">
        <v>178</v>
      </c>
    </row>
    <row r="22" spans="1:10" x14ac:dyDescent="0.25">
      <c r="A22" t="s">
        <v>103</v>
      </c>
      <c r="B22" t="s">
        <v>30</v>
      </c>
      <c r="C22" t="s">
        <v>15</v>
      </c>
      <c r="D22" t="s">
        <v>124</v>
      </c>
      <c r="E22">
        <v>2</v>
      </c>
      <c r="F22">
        <v>2</v>
      </c>
      <c r="G22">
        <v>282</v>
      </c>
      <c r="H22">
        <v>17</v>
      </c>
      <c r="I22">
        <v>7.0422535211267599E-3</v>
      </c>
      <c r="J22" t="s">
        <v>178</v>
      </c>
    </row>
    <row r="23" spans="1:10" x14ac:dyDescent="0.25">
      <c r="A23" t="s">
        <v>103</v>
      </c>
      <c r="B23" t="s">
        <v>30</v>
      </c>
      <c r="C23" t="s">
        <v>11</v>
      </c>
      <c r="D23" t="s">
        <v>125</v>
      </c>
      <c r="E23">
        <v>1</v>
      </c>
      <c r="F23">
        <v>0</v>
      </c>
      <c r="G23">
        <v>284</v>
      </c>
      <c r="H23">
        <v>0</v>
      </c>
      <c r="I23">
        <v>0</v>
      </c>
      <c r="J23" t="s">
        <v>178</v>
      </c>
    </row>
    <row r="24" spans="1:10" x14ac:dyDescent="0.25">
      <c r="A24" t="s">
        <v>103</v>
      </c>
      <c r="B24" t="s">
        <v>30</v>
      </c>
      <c r="C24" t="s">
        <v>11</v>
      </c>
      <c r="D24" t="s">
        <v>126</v>
      </c>
      <c r="E24">
        <v>2</v>
      </c>
      <c r="F24">
        <v>1</v>
      </c>
      <c r="G24">
        <v>283</v>
      </c>
      <c r="H24">
        <v>6</v>
      </c>
      <c r="I24">
        <v>3.5211267605633799E-3</v>
      </c>
      <c r="J24" t="s">
        <v>178</v>
      </c>
    </row>
    <row r="25" spans="1:10" x14ac:dyDescent="0.25">
      <c r="A25" t="s">
        <v>103</v>
      </c>
      <c r="B25" t="s">
        <v>30</v>
      </c>
      <c r="C25" t="s">
        <v>11</v>
      </c>
      <c r="D25" t="s">
        <v>127</v>
      </c>
      <c r="E25">
        <v>3</v>
      </c>
      <c r="F25">
        <v>0</v>
      </c>
      <c r="G25">
        <v>284</v>
      </c>
      <c r="H25">
        <v>0</v>
      </c>
      <c r="I25">
        <v>0</v>
      </c>
      <c r="J25" t="s">
        <v>178</v>
      </c>
    </row>
    <row r="26" spans="1:10" x14ac:dyDescent="0.25">
      <c r="A26" t="s">
        <v>103</v>
      </c>
      <c r="B26" t="s">
        <v>35</v>
      </c>
      <c r="C26" t="s">
        <v>15</v>
      </c>
      <c r="D26" t="s">
        <v>128</v>
      </c>
      <c r="E26">
        <v>1</v>
      </c>
      <c r="F26">
        <v>7</v>
      </c>
      <c r="G26">
        <v>277</v>
      </c>
      <c r="H26">
        <v>42</v>
      </c>
      <c r="I26">
        <v>2.4647887323943601E-2</v>
      </c>
      <c r="J26" t="s">
        <v>178</v>
      </c>
    </row>
    <row r="27" spans="1:10" x14ac:dyDescent="0.25">
      <c r="A27" t="s">
        <v>103</v>
      </c>
      <c r="B27" t="s">
        <v>35</v>
      </c>
      <c r="C27" t="s">
        <v>15</v>
      </c>
      <c r="D27" t="s">
        <v>129</v>
      </c>
      <c r="E27">
        <v>2</v>
      </c>
      <c r="F27">
        <v>5</v>
      </c>
      <c r="G27">
        <v>279</v>
      </c>
      <c r="H27">
        <v>37</v>
      </c>
      <c r="I27">
        <v>1.7605633802816899E-2</v>
      </c>
      <c r="J27" t="s">
        <v>178</v>
      </c>
    </row>
    <row r="28" spans="1:10" x14ac:dyDescent="0.25">
      <c r="A28" t="s">
        <v>103</v>
      </c>
      <c r="B28" t="s">
        <v>35</v>
      </c>
      <c r="C28" t="s">
        <v>11</v>
      </c>
      <c r="D28" t="s">
        <v>130</v>
      </c>
      <c r="E28">
        <v>1</v>
      </c>
      <c r="F28">
        <v>29</v>
      </c>
      <c r="G28">
        <v>255</v>
      </c>
      <c r="H28">
        <v>164</v>
      </c>
      <c r="I28">
        <v>0.102112676056338</v>
      </c>
      <c r="J28" t="s">
        <v>178</v>
      </c>
    </row>
    <row r="29" spans="1:10" x14ac:dyDescent="0.25">
      <c r="A29" t="s">
        <v>103</v>
      </c>
      <c r="B29" t="s">
        <v>35</v>
      </c>
      <c r="C29" t="s">
        <v>11</v>
      </c>
      <c r="D29" t="s">
        <v>131</v>
      </c>
      <c r="E29">
        <v>2</v>
      </c>
      <c r="F29">
        <v>5</v>
      </c>
      <c r="G29">
        <v>279</v>
      </c>
      <c r="H29">
        <v>31</v>
      </c>
      <c r="I29">
        <v>1.7605633802816899E-2</v>
      </c>
      <c r="J29" t="s">
        <v>178</v>
      </c>
    </row>
    <row r="30" spans="1:10" x14ac:dyDescent="0.25">
      <c r="A30" t="s">
        <v>103</v>
      </c>
      <c r="B30" t="s">
        <v>35</v>
      </c>
      <c r="C30" t="s">
        <v>11</v>
      </c>
      <c r="D30" t="s">
        <v>132</v>
      </c>
      <c r="E30">
        <v>3</v>
      </c>
      <c r="F30">
        <v>17</v>
      </c>
      <c r="G30">
        <v>267</v>
      </c>
      <c r="H30">
        <v>46</v>
      </c>
      <c r="I30">
        <v>5.9859154929577399E-2</v>
      </c>
      <c r="J30" t="s">
        <v>178</v>
      </c>
    </row>
    <row r="31" spans="1:10" x14ac:dyDescent="0.25">
      <c r="A31" t="s">
        <v>103</v>
      </c>
      <c r="B31" t="s">
        <v>40</v>
      </c>
      <c r="C31" t="s">
        <v>15</v>
      </c>
      <c r="D31" t="s">
        <v>133</v>
      </c>
      <c r="E31">
        <v>2</v>
      </c>
      <c r="F31">
        <v>0</v>
      </c>
      <c r="G31">
        <v>284</v>
      </c>
      <c r="H31">
        <v>0</v>
      </c>
      <c r="I31">
        <v>0</v>
      </c>
      <c r="J31" t="s">
        <v>178</v>
      </c>
    </row>
    <row r="32" spans="1:10" x14ac:dyDescent="0.25">
      <c r="A32" t="s">
        <v>103</v>
      </c>
      <c r="B32" t="s">
        <v>40</v>
      </c>
      <c r="C32" t="s">
        <v>11</v>
      </c>
      <c r="D32" t="s">
        <v>134</v>
      </c>
      <c r="E32">
        <v>1</v>
      </c>
      <c r="F32">
        <v>14</v>
      </c>
      <c r="G32">
        <v>270</v>
      </c>
      <c r="H32">
        <v>107</v>
      </c>
      <c r="I32">
        <v>4.92957746478873E-2</v>
      </c>
      <c r="J32" t="s">
        <v>178</v>
      </c>
    </row>
    <row r="33" spans="1:10" x14ac:dyDescent="0.25">
      <c r="A33" t="s">
        <v>103</v>
      </c>
      <c r="B33" t="s">
        <v>40</v>
      </c>
      <c r="C33" t="s">
        <v>11</v>
      </c>
      <c r="D33" t="s">
        <v>135</v>
      </c>
      <c r="E33">
        <v>2</v>
      </c>
      <c r="F33">
        <v>6</v>
      </c>
      <c r="G33">
        <v>278</v>
      </c>
      <c r="H33">
        <v>19</v>
      </c>
      <c r="I33">
        <v>2.1126760563380202E-2</v>
      </c>
      <c r="J33" t="s">
        <v>178</v>
      </c>
    </row>
    <row r="34" spans="1:10" x14ac:dyDescent="0.25">
      <c r="A34" t="s">
        <v>103</v>
      </c>
      <c r="B34" t="s">
        <v>40</v>
      </c>
      <c r="C34" t="s">
        <v>11</v>
      </c>
      <c r="D34" t="s">
        <v>136</v>
      </c>
      <c r="E34">
        <v>3</v>
      </c>
      <c r="F34">
        <v>36</v>
      </c>
      <c r="G34">
        <v>248</v>
      </c>
      <c r="H34">
        <v>207</v>
      </c>
      <c r="I34">
        <v>0.12676056338028099</v>
      </c>
      <c r="J34" t="s">
        <v>178</v>
      </c>
    </row>
    <row r="35" spans="1:10" x14ac:dyDescent="0.25">
      <c r="A35" t="s">
        <v>103</v>
      </c>
      <c r="B35" t="s">
        <v>45</v>
      </c>
      <c r="C35" t="s">
        <v>11</v>
      </c>
      <c r="D35" t="s">
        <v>137</v>
      </c>
      <c r="E35">
        <v>3</v>
      </c>
      <c r="F35">
        <v>1</v>
      </c>
      <c r="G35">
        <v>283</v>
      </c>
      <c r="H35">
        <v>8</v>
      </c>
      <c r="I35">
        <v>3.5211267605633799E-3</v>
      </c>
      <c r="J35" t="s">
        <v>178</v>
      </c>
    </row>
    <row r="36" spans="1:10" x14ac:dyDescent="0.25">
      <c r="A36" t="s">
        <v>103</v>
      </c>
      <c r="B36" t="s">
        <v>46</v>
      </c>
      <c r="C36" t="s">
        <v>11</v>
      </c>
      <c r="D36" t="s">
        <v>138</v>
      </c>
      <c r="E36">
        <v>3</v>
      </c>
      <c r="F36">
        <v>25</v>
      </c>
      <c r="G36">
        <v>259</v>
      </c>
      <c r="H36">
        <v>149</v>
      </c>
      <c r="I36">
        <v>8.8028169014084501E-2</v>
      </c>
      <c r="J36" t="s">
        <v>178</v>
      </c>
    </row>
    <row r="37" spans="1:10" x14ac:dyDescent="0.25">
      <c r="A37" t="s">
        <v>103</v>
      </c>
      <c r="B37" t="s">
        <v>47</v>
      </c>
      <c r="C37" t="s">
        <v>15</v>
      </c>
      <c r="D37" t="s">
        <v>139</v>
      </c>
      <c r="E37">
        <v>1</v>
      </c>
      <c r="F37">
        <v>0</v>
      </c>
      <c r="G37">
        <v>284</v>
      </c>
      <c r="H37">
        <v>0</v>
      </c>
      <c r="I37">
        <v>0</v>
      </c>
      <c r="J37" t="s">
        <v>178</v>
      </c>
    </row>
    <row r="38" spans="1:10" x14ac:dyDescent="0.25">
      <c r="A38" t="s">
        <v>103</v>
      </c>
      <c r="B38" t="s">
        <v>47</v>
      </c>
      <c r="C38" t="s">
        <v>15</v>
      </c>
      <c r="D38" t="s">
        <v>140</v>
      </c>
      <c r="E38">
        <v>2</v>
      </c>
      <c r="F38">
        <v>3</v>
      </c>
      <c r="G38">
        <v>281</v>
      </c>
      <c r="H38">
        <v>28</v>
      </c>
      <c r="I38">
        <v>1.0563380281690101E-2</v>
      </c>
      <c r="J38" t="s">
        <v>178</v>
      </c>
    </row>
    <row r="39" spans="1:10" x14ac:dyDescent="0.25">
      <c r="A39" t="s">
        <v>103</v>
      </c>
      <c r="B39" t="s">
        <v>47</v>
      </c>
      <c r="C39" t="s">
        <v>11</v>
      </c>
      <c r="D39" t="s">
        <v>141</v>
      </c>
      <c r="E39">
        <v>1</v>
      </c>
      <c r="F39">
        <v>6</v>
      </c>
      <c r="G39">
        <v>278</v>
      </c>
      <c r="H39">
        <v>53</v>
      </c>
      <c r="I39">
        <v>2.1126760563380202E-2</v>
      </c>
      <c r="J39" t="s">
        <v>178</v>
      </c>
    </row>
    <row r="40" spans="1:10" x14ac:dyDescent="0.25">
      <c r="A40" t="s">
        <v>103</v>
      </c>
      <c r="B40" t="s">
        <v>47</v>
      </c>
      <c r="C40" t="s">
        <v>11</v>
      </c>
      <c r="D40" t="s">
        <v>142</v>
      </c>
      <c r="E40">
        <v>2</v>
      </c>
      <c r="F40">
        <v>9</v>
      </c>
      <c r="G40">
        <v>275</v>
      </c>
      <c r="H40">
        <v>51</v>
      </c>
      <c r="I40">
        <v>3.1690140845070401E-2</v>
      </c>
      <c r="J40" t="s">
        <v>178</v>
      </c>
    </row>
    <row r="41" spans="1:10" x14ac:dyDescent="0.25">
      <c r="A41" t="s">
        <v>103</v>
      </c>
      <c r="B41" t="s">
        <v>47</v>
      </c>
      <c r="C41" t="s">
        <v>11</v>
      </c>
      <c r="D41" t="s">
        <v>143</v>
      </c>
      <c r="E41">
        <v>3</v>
      </c>
      <c r="F41">
        <v>15</v>
      </c>
      <c r="G41">
        <v>269</v>
      </c>
      <c r="H41">
        <v>83</v>
      </c>
      <c r="I41">
        <v>5.2816901408450703E-2</v>
      </c>
      <c r="J41" t="s">
        <v>178</v>
      </c>
    </row>
    <row r="42" spans="1:10" x14ac:dyDescent="0.25">
      <c r="A42" t="s">
        <v>103</v>
      </c>
      <c r="B42" t="s">
        <v>52</v>
      </c>
      <c r="C42" t="s">
        <v>15</v>
      </c>
      <c r="D42" t="s">
        <v>144</v>
      </c>
      <c r="E42">
        <v>1</v>
      </c>
      <c r="F42">
        <v>13</v>
      </c>
      <c r="G42">
        <v>271</v>
      </c>
      <c r="H42">
        <v>78</v>
      </c>
      <c r="I42">
        <v>4.5774647887323897E-2</v>
      </c>
      <c r="J42" t="s">
        <v>178</v>
      </c>
    </row>
    <row r="43" spans="1:10" x14ac:dyDescent="0.25">
      <c r="A43" t="s">
        <v>103</v>
      </c>
      <c r="B43" t="s">
        <v>52</v>
      </c>
      <c r="C43" t="s">
        <v>15</v>
      </c>
      <c r="D43" t="s">
        <v>145</v>
      </c>
      <c r="E43">
        <v>2</v>
      </c>
      <c r="F43">
        <v>25</v>
      </c>
      <c r="G43">
        <v>259</v>
      </c>
      <c r="H43">
        <v>107</v>
      </c>
      <c r="I43">
        <v>8.8028169014084501E-2</v>
      </c>
      <c r="J43" t="s">
        <v>178</v>
      </c>
    </row>
    <row r="44" spans="1:10" x14ac:dyDescent="0.25">
      <c r="A44" t="s">
        <v>103</v>
      </c>
      <c r="B44" t="s">
        <v>52</v>
      </c>
      <c r="C44" t="s">
        <v>11</v>
      </c>
      <c r="D44" t="s">
        <v>146</v>
      </c>
      <c r="E44">
        <v>1</v>
      </c>
      <c r="F44">
        <v>11</v>
      </c>
      <c r="G44">
        <v>273</v>
      </c>
      <c r="H44">
        <v>114</v>
      </c>
      <c r="I44">
        <v>3.8732394366197097E-2</v>
      </c>
      <c r="J44" t="s">
        <v>178</v>
      </c>
    </row>
    <row r="45" spans="1:10" x14ac:dyDescent="0.25">
      <c r="A45" t="s">
        <v>103</v>
      </c>
      <c r="B45" t="s">
        <v>52</v>
      </c>
      <c r="C45" t="s">
        <v>11</v>
      </c>
      <c r="D45" t="s">
        <v>147</v>
      </c>
      <c r="E45">
        <v>2</v>
      </c>
      <c r="F45">
        <v>18</v>
      </c>
      <c r="G45">
        <v>266</v>
      </c>
      <c r="H45">
        <v>53</v>
      </c>
      <c r="I45">
        <v>6.3380281690140802E-2</v>
      </c>
      <c r="J45" t="s">
        <v>178</v>
      </c>
    </row>
    <row r="46" spans="1:10" x14ac:dyDescent="0.25">
      <c r="A46" t="s">
        <v>103</v>
      </c>
      <c r="B46" t="s">
        <v>52</v>
      </c>
      <c r="C46" t="s">
        <v>11</v>
      </c>
      <c r="D46" t="s">
        <v>148</v>
      </c>
      <c r="E46">
        <v>3</v>
      </c>
      <c r="F46">
        <v>43</v>
      </c>
      <c r="G46">
        <v>241</v>
      </c>
      <c r="H46">
        <v>247</v>
      </c>
      <c r="I46">
        <v>0.15140845070422501</v>
      </c>
      <c r="J46" t="s">
        <v>178</v>
      </c>
    </row>
    <row r="47" spans="1:10" x14ac:dyDescent="0.25">
      <c r="A47" t="s">
        <v>154</v>
      </c>
      <c r="B47" t="s">
        <v>149</v>
      </c>
      <c r="C47" t="s">
        <v>15</v>
      </c>
      <c r="D47" t="s">
        <v>172</v>
      </c>
      <c r="E47">
        <v>1</v>
      </c>
      <c r="F47">
        <v>22</v>
      </c>
      <c r="G47">
        <v>262</v>
      </c>
      <c r="H47">
        <v>51</v>
      </c>
      <c r="I47">
        <v>7.7464788732394305E-2</v>
      </c>
      <c r="J47" t="s">
        <v>179</v>
      </c>
    </row>
    <row r="48" spans="1:10" x14ac:dyDescent="0.25">
      <c r="A48" t="s">
        <v>154</v>
      </c>
      <c r="B48" t="s">
        <v>149</v>
      </c>
      <c r="C48" t="s">
        <v>15</v>
      </c>
      <c r="D48" t="s">
        <v>173</v>
      </c>
      <c r="E48">
        <v>2</v>
      </c>
      <c r="F48">
        <v>36</v>
      </c>
      <c r="G48">
        <v>248</v>
      </c>
      <c r="H48">
        <v>118</v>
      </c>
      <c r="I48">
        <v>0.12676056338028099</v>
      </c>
      <c r="J48" t="s">
        <v>179</v>
      </c>
    </row>
    <row r="49" spans="1:10" x14ac:dyDescent="0.25">
      <c r="A49" t="s">
        <v>154</v>
      </c>
      <c r="B49" t="s">
        <v>149</v>
      </c>
      <c r="C49" t="s">
        <v>11</v>
      </c>
      <c r="D49" t="s">
        <v>174</v>
      </c>
      <c r="E49">
        <v>1</v>
      </c>
      <c r="F49">
        <v>56</v>
      </c>
      <c r="G49">
        <v>228</v>
      </c>
      <c r="H49">
        <v>260</v>
      </c>
      <c r="I49">
        <v>0.19718309859154901</v>
      </c>
      <c r="J49" t="s">
        <v>179</v>
      </c>
    </row>
    <row r="50" spans="1:10" x14ac:dyDescent="0.25">
      <c r="A50" t="s">
        <v>154</v>
      </c>
      <c r="B50" t="s">
        <v>149</v>
      </c>
      <c r="C50" t="s">
        <v>11</v>
      </c>
      <c r="D50" t="s">
        <v>175</v>
      </c>
      <c r="E50">
        <v>2</v>
      </c>
      <c r="F50">
        <v>54</v>
      </c>
      <c r="G50">
        <v>230</v>
      </c>
      <c r="H50">
        <v>211</v>
      </c>
      <c r="I50">
        <v>0.190140845070422</v>
      </c>
      <c r="J50" t="s">
        <v>179</v>
      </c>
    </row>
    <row r="51" spans="1:10" x14ac:dyDescent="0.25">
      <c r="A51" t="s">
        <v>154</v>
      </c>
      <c r="B51" t="s">
        <v>149</v>
      </c>
      <c r="C51" t="s">
        <v>11</v>
      </c>
      <c r="D51" t="s">
        <v>176</v>
      </c>
      <c r="E51">
        <v>3</v>
      </c>
      <c r="F51">
        <v>52</v>
      </c>
      <c r="G51">
        <v>232</v>
      </c>
      <c r="H51">
        <v>215</v>
      </c>
      <c r="I51">
        <v>0.183098591549295</v>
      </c>
      <c r="J51" t="s">
        <v>179</v>
      </c>
    </row>
    <row r="52" spans="1:10" x14ac:dyDescent="0.25">
      <c r="A52" t="s">
        <v>154</v>
      </c>
      <c r="B52" t="s">
        <v>151</v>
      </c>
      <c r="C52" t="s">
        <v>15</v>
      </c>
      <c r="D52" t="s">
        <v>155</v>
      </c>
      <c r="E52">
        <v>1</v>
      </c>
      <c r="F52">
        <v>7</v>
      </c>
      <c r="G52">
        <v>277</v>
      </c>
      <c r="H52">
        <v>37</v>
      </c>
      <c r="I52">
        <v>2.4647887323943601E-2</v>
      </c>
      <c r="J52" t="s">
        <v>179</v>
      </c>
    </row>
    <row r="53" spans="1:10" x14ac:dyDescent="0.25">
      <c r="A53" t="s">
        <v>154</v>
      </c>
      <c r="B53" t="s">
        <v>151</v>
      </c>
      <c r="C53" t="s">
        <v>15</v>
      </c>
      <c r="D53" t="s">
        <v>156</v>
      </c>
      <c r="E53">
        <v>2</v>
      </c>
      <c r="F53">
        <v>7</v>
      </c>
      <c r="G53">
        <v>277</v>
      </c>
      <c r="H53">
        <v>37</v>
      </c>
      <c r="I53">
        <v>2.4647887323943601E-2</v>
      </c>
      <c r="J53" t="s">
        <v>179</v>
      </c>
    </row>
    <row r="54" spans="1:10" x14ac:dyDescent="0.25">
      <c r="A54" t="s">
        <v>154</v>
      </c>
      <c r="B54" t="s">
        <v>151</v>
      </c>
      <c r="C54" t="s">
        <v>11</v>
      </c>
      <c r="D54" t="s">
        <v>157</v>
      </c>
      <c r="E54">
        <v>1</v>
      </c>
      <c r="F54">
        <v>7</v>
      </c>
      <c r="G54">
        <v>277</v>
      </c>
      <c r="H54">
        <v>37</v>
      </c>
      <c r="I54">
        <v>2.4647887323943601E-2</v>
      </c>
      <c r="J54" t="s">
        <v>179</v>
      </c>
    </row>
    <row r="55" spans="1:10" x14ac:dyDescent="0.25">
      <c r="A55" t="s">
        <v>154</v>
      </c>
      <c r="B55" t="s">
        <v>151</v>
      </c>
      <c r="C55" t="s">
        <v>11</v>
      </c>
      <c r="D55" t="s">
        <v>158</v>
      </c>
      <c r="E55">
        <v>2</v>
      </c>
      <c r="F55">
        <v>7</v>
      </c>
      <c r="G55">
        <v>277</v>
      </c>
      <c r="H55">
        <v>37</v>
      </c>
      <c r="I55">
        <v>2.4647887323943601E-2</v>
      </c>
      <c r="J55" t="s">
        <v>179</v>
      </c>
    </row>
    <row r="56" spans="1:10" x14ac:dyDescent="0.25">
      <c r="A56" t="s">
        <v>154</v>
      </c>
      <c r="B56" t="s">
        <v>151</v>
      </c>
      <c r="C56" t="s">
        <v>11</v>
      </c>
      <c r="D56" t="s">
        <v>159</v>
      </c>
      <c r="E56">
        <v>3</v>
      </c>
      <c r="F56">
        <v>17</v>
      </c>
      <c r="G56">
        <v>267</v>
      </c>
      <c r="H56">
        <v>135</v>
      </c>
      <c r="I56">
        <v>5.9859154929577399E-2</v>
      </c>
      <c r="J56" t="s">
        <v>179</v>
      </c>
    </row>
    <row r="57" spans="1:10" x14ac:dyDescent="0.25">
      <c r="A57" t="s">
        <v>154</v>
      </c>
      <c r="B57" t="s">
        <v>150</v>
      </c>
      <c r="C57" t="s">
        <v>15</v>
      </c>
      <c r="D57" t="s">
        <v>160</v>
      </c>
      <c r="E57">
        <v>1</v>
      </c>
      <c r="F57">
        <v>46</v>
      </c>
      <c r="G57">
        <v>238</v>
      </c>
      <c r="H57">
        <v>150</v>
      </c>
      <c r="I57">
        <v>0.161971830985915</v>
      </c>
      <c r="J57" t="s">
        <v>179</v>
      </c>
    </row>
    <row r="58" spans="1:10" x14ac:dyDescent="0.25">
      <c r="A58" t="s">
        <v>154</v>
      </c>
      <c r="B58" t="s">
        <v>150</v>
      </c>
      <c r="C58" t="s">
        <v>15</v>
      </c>
      <c r="D58" t="s">
        <v>161</v>
      </c>
      <c r="E58">
        <v>2</v>
      </c>
      <c r="F58">
        <v>117</v>
      </c>
      <c r="G58">
        <v>167</v>
      </c>
      <c r="H58">
        <v>233</v>
      </c>
      <c r="I58">
        <v>0.411971830985915</v>
      </c>
      <c r="J58" t="s">
        <v>179</v>
      </c>
    </row>
    <row r="59" spans="1:10" x14ac:dyDescent="0.25">
      <c r="A59" t="s">
        <v>154</v>
      </c>
      <c r="B59" t="s">
        <v>150</v>
      </c>
      <c r="C59" t="s">
        <v>11</v>
      </c>
      <c r="D59" t="s">
        <v>162</v>
      </c>
      <c r="E59">
        <v>1</v>
      </c>
      <c r="F59">
        <v>77</v>
      </c>
      <c r="G59">
        <v>207</v>
      </c>
      <c r="H59">
        <v>249</v>
      </c>
      <c r="I59">
        <v>0.27112676056337998</v>
      </c>
      <c r="J59" t="s">
        <v>179</v>
      </c>
    </row>
    <row r="60" spans="1:10" x14ac:dyDescent="0.25">
      <c r="A60" t="s">
        <v>154</v>
      </c>
      <c r="B60" t="s">
        <v>150</v>
      </c>
      <c r="C60" t="s">
        <v>11</v>
      </c>
      <c r="D60" t="s">
        <v>163</v>
      </c>
      <c r="E60">
        <v>2</v>
      </c>
      <c r="F60">
        <v>96</v>
      </c>
      <c r="G60">
        <v>188</v>
      </c>
      <c r="H60">
        <v>250</v>
      </c>
      <c r="I60">
        <v>0.338028169014084</v>
      </c>
      <c r="J60" t="s">
        <v>179</v>
      </c>
    </row>
    <row r="61" spans="1:10" x14ac:dyDescent="0.25">
      <c r="A61" t="s">
        <v>154</v>
      </c>
      <c r="B61" t="s">
        <v>150</v>
      </c>
      <c r="C61" t="s">
        <v>11</v>
      </c>
      <c r="D61" t="s">
        <v>164</v>
      </c>
      <c r="E61">
        <v>3</v>
      </c>
      <c r="F61">
        <v>123</v>
      </c>
      <c r="G61">
        <v>161</v>
      </c>
      <c r="H61">
        <v>266</v>
      </c>
      <c r="I61">
        <v>0.43309859154929498</v>
      </c>
      <c r="J61" t="s">
        <v>179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52279-ADD6-47A9-944B-C44B98BA22EA}">
  <dimension ref="A3:H22"/>
  <sheetViews>
    <sheetView workbookViewId="0">
      <selection activeCell="D46" sqref="D46"/>
    </sheetView>
  </sheetViews>
  <sheetFormatPr defaultRowHeight="13.8" x14ac:dyDescent="0.25"/>
  <cols>
    <col min="1" max="1" width="25" bestFit="1" customWidth="1"/>
    <col min="2" max="2" width="20.6640625" bestFit="1" customWidth="1"/>
    <col min="3" max="11" width="14.109375" bestFit="1" customWidth="1"/>
  </cols>
  <sheetData>
    <row r="3" spans="1:8" x14ac:dyDescent="0.25">
      <c r="A3" s="1" t="s">
        <v>58</v>
      </c>
      <c r="C3" s="1" t="s">
        <v>4</v>
      </c>
      <c r="D3" s="1" t="s">
        <v>2</v>
      </c>
    </row>
    <row r="4" spans="1:8" x14ac:dyDescent="0.25">
      <c r="C4">
        <v>1</v>
      </c>
      <c r="E4">
        <v>2</v>
      </c>
      <c r="G4">
        <v>3</v>
      </c>
      <c r="H4" t="s">
        <v>57</v>
      </c>
    </row>
    <row r="5" spans="1:8" x14ac:dyDescent="0.25">
      <c r="A5" s="1" t="s">
        <v>177</v>
      </c>
      <c r="B5" s="1" t="s">
        <v>1</v>
      </c>
      <c r="C5" t="s">
        <v>15</v>
      </c>
      <c r="D5" t="s">
        <v>11</v>
      </c>
      <c r="E5" t="s">
        <v>15</v>
      </c>
      <c r="F5" t="s">
        <v>11</v>
      </c>
      <c r="G5" t="s">
        <v>11</v>
      </c>
    </row>
    <row r="6" spans="1:8" x14ac:dyDescent="0.25">
      <c r="A6" t="s">
        <v>179</v>
      </c>
      <c r="B6" t="s">
        <v>149</v>
      </c>
      <c r="C6" s="2">
        <v>6.3380281999999996E-2</v>
      </c>
      <c r="D6" s="2">
        <v>0.158450704</v>
      </c>
      <c r="E6" s="2">
        <v>0.13028169000000001</v>
      </c>
      <c r="F6" s="2">
        <v>9.5070423000000001E-2</v>
      </c>
      <c r="G6" s="2">
        <v>0.25352112700000001</v>
      </c>
      <c r="H6" s="2">
        <v>0.1401408452</v>
      </c>
    </row>
    <row r="7" spans="1:8" x14ac:dyDescent="0.25">
      <c r="B7" t="s">
        <v>151</v>
      </c>
      <c r="C7" s="2">
        <v>2.4647887E-2</v>
      </c>
      <c r="D7" s="2">
        <v>2.4647887E-2</v>
      </c>
      <c r="E7" s="2">
        <v>2.4647887E-2</v>
      </c>
      <c r="F7" s="2">
        <v>2.4647887E-2</v>
      </c>
      <c r="G7" s="2">
        <v>1.7605633999999998E-2</v>
      </c>
      <c r="H7" s="2">
        <v>2.3239436400000001E-2</v>
      </c>
    </row>
    <row r="8" spans="1:8" x14ac:dyDescent="0.25">
      <c r="B8" t="s">
        <v>150</v>
      </c>
      <c r="C8" s="2">
        <v>5.2816900999999999E-2</v>
      </c>
      <c r="D8" s="2">
        <v>0.183098592</v>
      </c>
      <c r="E8" s="2">
        <v>0.24295774647887325</v>
      </c>
      <c r="F8" s="2">
        <v>0.26408450700000002</v>
      </c>
      <c r="G8" s="2">
        <v>0.45774647899999998</v>
      </c>
      <c r="H8" s="2">
        <v>0.24014084509577466</v>
      </c>
    </row>
    <row r="9" spans="1:8" x14ac:dyDescent="0.25">
      <c r="A9" t="s">
        <v>178</v>
      </c>
      <c r="B9" t="s">
        <v>10</v>
      </c>
      <c r="C9" s="2"/>
      <c r="D9" s="2"/>
      <c r="E9" s="2"/>
      <c r="F9" s="2"/>
      <c r="G9" s="2">
        <v>7.0422540000000004E-3</v>
      </c>
      <c r="H9" s="2">
        <v>7.0422540000000004E-3</v>
      </c>
    </row>
    <row r="10" spans="1:8" x14ac:dyDescent="0.25">
      <c r="B10" t="s">
        <v>12</v>
      </c>
      <c r="C10" s="2"/>
      <c r="D10" s="2"/>
      <c r="E10" s="2"/>
      <c r="F10" s="2"/>
      <c r="G10" s="2">
        <v>1.7605633999999998E-2</v>
      </c>
      <c r="H10" s="2">
        <v>1.7605633999999998E-2</v>
      </c>
    </row>
    <row r="11" spans="1:8" x14ac:dyDescent="0.25">
      <c r="B11" t="s">
        <v>13</v>
      </c>
      <c r="C11" s="2"/>
      <c r="D11" s="2"/>
      <c r="E11" s="2"/>
      <c r="F11" s="2"/>
      <c r="G11" s="2">
        <v>3.5211270000000002E-3</v>
      </c>
      <c r="H11" s="2">
        <v>3.5211270000000002E-3</v>
      </c>
    </row>
    <row r="12" spans="1:8" x14ac:dyDescent="0.25">
      <c r="B12" t="s">
        <v>14</v>
      </c>
      <c r="C12" s="2">
        <v>2.1126761000000001E-2</v>
      </c>
      <c r="D12" s="2">
        <v>2.1126761000000001E-2</v>
      </c>
      <c r="E12" s="2">
        <v>3.5211270000000002E-3</v>
      </c>
      <c r="F12" s="2">
        <v>2.4647887E-2</v>
      </c>
      <c r="G12" s="2">
        <v>1.4084507E-2</v>
      </c>
      <c r="H12" s="2">
        <v>1.6901408600000001E-2</v>
      </c>
    </row>
    <row r="13" spans="1:8" x14ac:dyDescent="0.25">
      <c r="B13" t="s">
        <v>20</v>
      </c>
      <c r="C13" s="2">
        <v>2.8169013999999999E-2</v>
      </c>
      <c r="D13" s="2">
        <v>1.7605633999999998E-2</v>
      </c>
      <c r="E13" s="2">
        <v>3.1690140999999998E-2</v>
      </c>
      <c r="F13" s="2">
        <v>4.5774648000000001E-2</v>
      </c>
      <c r="G13" s="2">
        <v>6.6901407999999996E-2</v>
      </c>
      <c r="H13" s="2">
        <v>3.8028169000000001E-2</v>
      </c>
    </row>
    <row r="14" spans="1:8" x14ac:dyDescent="0.25">
      <c r="B14" t="s">
        <v>25</v>
      </c>
      <c r="C14" s="2">
        <v>3.1690140999999998E-2</v>
      </c>
      <c r="D14" s="2">
        <v>6.3380281999999996E-2</v>
      </c>
      <c r="E14" s="2">
        <v>7.7464789000000006E-2</v>
      </c>
      <c r="F14" s="2">
        <v>6.6901407999999996E-2</v>
      </c>
      <c r="G14" s="2">
        <v>8.8028169000000003E-2</v>
      </c>
      <c r="H14" s="2">
        <v>6.5492957800000001E-2</v>
      </c>
    </row>
    <row r="15" spans="1:8" x14ac:dyDescent="0.25">
      <c r="B15" t="s">
        <v>30</v>
      </c>
      <c r="C15" s="2">
        <v>7.0422540000000004E-3</v>
      </c>
      <c r="D15" s="2">
        <v>7.0422540000000004E-3</v>
      </c>
      <c r="E15" s="2">
        <v>7.0422540000000004E-3</v>
      </c>
      <c r="F15" s="2">
        <v>3.5211270000000002E-3</v>
      </c>
      <c r="G15" s="2">
        <v>7.0422540000000004E-3</v>
      </c>
      <c r="H15" s="2">
        <v>6.3380285999999992E-3</v>
      </c>
    </row>
    <row r="16" spans="1:8" x14ac:dyDescent="0.25">
      <c r="B16" t="s">
        <v>35</v>
      </c>
      <c r="C16" s="2">
        <v>3.5211270000000002E-3</v>
      </c>
      <c r="D16" s="2">
        <v>0</v>
      </c>
      <c r="E16" s="2">
        <v>3.5211270000000002E-3</v>
      </c>
      <c r="F16" s="2">
        <v>1.7605633999999998E-2</v>
      </c>
      <c r="G16" s="2">
        <v>4.9295775E-2</v>
      </c>
      <c r="H16" s="2">
        <v>1.4788732599999998E-2</v>
      </c>
    </row>
    <row r="17" spans="1:8" x14ac:dyDescent="0.25">
      <c r="B17" t="s">
        <v>40</v>
      </c>
      <c r="C17" s="2">
        <v>1.0563380000000001E-2</v>
      </c>
      <c r="D17" s="2">
        <v>4.9295775E-2</v>
      </c>
      <c r="E17" s="2">
        <v>1.0563380000000001E-2</v>
      </c>
      <c r="F17" s="2">
        <v>2.4647887E-2</v>
      </c>
      <c r="G17" s="2">
        <v>2.4647887E-2</v>
      </c>
      <c r="H17" s="2">
        <v>2.3943661799999998E-2</v>
      </c>
    </row>
    <row r="18" spans="1:8" x14ac:dyDescent="0.25">
      <c r="B18" t="s">
        <v>45</v>
      </c>
      <c r="C18" s="2"/>
      <c r="D18" s="2"/>
      <c r="E18" s="2"/>
      <c r="F18" s="2"/>
      <c r="G18" s="2">
        <v>0</v>
      </c>
      <c r="H18" s="2">
        <v>0</v>
      </c>
    </row>
    <row r="19" spans="1:8" x14ac:dyDescent="0.25">
      <c r="B19" t="s">
        <v>46</v>
      </c>
      <c r="C19" s="2"/>
      <c r="D19" s="2"/>
      <c r="E19" s="2"/>
      <c r="F19" s="2"/>
      <c r="G19" s="2">
        <v>4.2253521000000002E-2</v>
      </c>
      <c r="H19" s="2">
        <v>4.2253521000000002E-2</v>
      </c>
    </row>
    <row r="20" spans="1:8" x14ac:dyDescent="0.25">
      <c r="B20" t="s">
        <v>47</v>
      </c>
      <c r="C20" s="2">
        <v>1.4084507E-2</v>
      </c>
      <c r="D20" s="2">
        <v>3.1690140999999998E-2</v>
      </c>
      <c r="E20" s="2">
        <v>7.0422540000000004E-3</v>
      </c>
      <c r="F20" s="2">
        <v>1.0563380000000001E-2</v>
      </c>
      <c r="G20" s="2">
        <v>1.4084507E-2</v>
      </c>
      <c r="H20" s="2">
        <v>1.5492957799999998E-2</v>
      </c>
    </row>
    <row r="21" spans="1:8" x14ac:dyDescent="0.25">
      <c r="B21" t="s">
        <v>52</v>
      </c>
      <c r="C21" s="2">
        <v>4.5774648000000001E-2</v>
      </c>
      <c r="D21" s="2">
        <v>5.2816900999999999E-2</v>
      </c>
      <c r="E21" s="2">
        <v>5.2816900999999999E-2</v>
      </c>
      <c r="F21" s="2">
        <v>3.5211270000000002E-3</v>
      </c>
      <c r="G21" s="2">
        <v>4.9295775E-2</v>
      </c>
      <c r="H21" s="2">
        <v>4.0845070400000003E-2</v>
      </c>
    </row>
    <row r="22" spans="1:8" x14ac:dyDescent="0.25">
      <c r="A22" t="s">
        <v>57</v>
      </c>
      <c r="C22" s="2">
        <v>2.7528809272727273E-2</v>
      </c>
      <c r="D22" s="2">
        <v>5.5377721000000005E-2</v>
      </c>
      <c r="E22" s="2">
        <v>5.3777208770806668E-2</v>
      </c>
      <c r="F22" s="2">
        <v>5.2816901363636364E-2</v>
      </c>
      <c r="G22" s="2">
        <v>6.9542253624999995E-2</v>
      </c>
      <c r="H22" s="2">
        <v>5.3286385041314561E-2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9F2EF-E349-42C9-A060-B7DF8FB261AD}">
  <dimension ref="A1:J61"/>
  <sheetViews>
    <sheetView workbookViewId="0">
      <selection activeCell="G46" sqref="G46"/>
    </sheetView>
  </sheetViews>
  <sheetFormatPr defaultRowHeight="13.8" x14ac:dyDescent="0.25"/>
  <cols>
    <col min="1" max="1" width="29.21875" bestFit="1" customWidth="1"/>
    <col min="2" max="2" width="20.6640625" bestFit="1" customWidth="1"/>
  </cols>
  <sheetData>
    <row r="1" spans="1:1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261</v>
      </c>
    </row>
    <row r="2" spans="1:10" x14ac:dyDescent="0.25">
      <c r="A2" s="6" t="s">
        <v>198</v>
      </c>
      <c r="B2" s="6" t="s">
        <v>10</v>
      </c>
      <c r="C2" s="6" t="s">
        <v>11</v>
      </c>
      <c r="D2" s="6" t="s">
        <v>199</v>
      </c>
      <c r="E2" s="6">
        <v>3</v>
      </c>
      <c r="F2" s="6">
        <v>2</v>
      </c>
      <c r="G2" s="6">
        <v>282</v>
      </c>
      <c r="H2" s="6">
        <v>15</v>
      </c>
      <c r="I2" s="6">
        <v>7.0422540000000004E-3</v>
      </c>
      <c r="J2" t="s">
        <v>263</v>
      </c>
    </row>
    <row r="3" spans="1:10" x14ac:dyDescent="0.25">
      <c r="A3" s="6" t="s">
        <v>198</v>
      </c>
      <c r="B3" s="6" t="s">
        <v>12</v>
      </c>
      <c r="C3" s="6" t="s">
        <v>11</v>
      </c>
      <c r="D3" s="6" t="s">
        <v>200</v>
      </c>
      <c r="E3" s="6">
        <v>3</v>
      </c>
      <c r="F3" s="6">
        <v>5</v>
      </c>
      <c r="G3" s="6">
        <v>279</v>
      </c>
      <c r="H3" s="6">
        <v>41</v>
      </c>
      <c r="I3" s="6">
        <v>1.7605633999999998E-2</v>
      </c>
      <c r="J3" t="s">
        <v>263</v>
      </c>
    </row>
    <row r="4" spans="1:10" x14ac:dyDescent="0.25">
      <c r="A4" s="6" t="s">
        <v>198</v>
      </c>
      <c r="B4" s="6" t="s">
        <v>13</v>
      </c>
      <c r="C4" s="6" t="s">
        <v>11</v>
      </c>
      <c r="D4" s="6" t="s">
        <v>201</v>
      </c>
      <c r="E4" s="6">
        <v>3</v>
      </c>
      <c r="F4" s="6">
        <v>1</v>
      </c>
      <c r="G4" s="6">
        <v>283</v>
      </c>
      <c r="H4" s="6">
        <v>6</v>
      </c>
      <c r="I4" s="6">
        <v>3.5211270000000002E-3</v>
      </c>
      <c r="J4" t="s">
        <v>263</v>
      </c>
    </row>
    <row r="5" spans="1:10" x14ac:dyDescent="0.25">
      <c r="A5" s="6" t="s">
        <v>202</v>
      </c>
      <c r="B5" s="6" t="s">
        <v>14</v>
      </c>
      <c r="C5" s="6" t="s">
        <v>15</v>
      </c>
      <c r="D5" s="6" t="s">
        <v>203</v>
      </c>
      <c r="E5" s="6">
        <v>1</v>
      </c>
      <c r="F5" s="6">
        <v>6</v>
      </c>
      <c r="G5" s="6">
        <v>278</v>
      </c>
      <c r="H5" s="6">
        <v>23</v>
      </c>
      <c r="I5" s="6">
        <v>2.1126761000000001E-2</v>
      </c>
      <c r="J5" t="s">
        <v>263</v>
      </c>
    </row>
    <row r="6" spans="1:10" x14ac:dyDescent="0.25">
      <c r="A6" s="6" t="s">
        <v>202</v>
      </c>
      <c r="B6" s="6" t="s">
        <v>14</v>
      </c>
      <c r="C6" s="6" t="s">
        <v>15</v>
      </c>
      <c r="D6" s="6" t="s">
        <v>204</v>
      </c>
      <c r="E6" s="6">
        <v>2</v>
      </c>
      <c r="F6" s="6">
        <v>1</v>
      </c>
      <c r="G6" s="6">
        <v>283</v>
      </c>
      <c r="H6" s="6">
        <v>14</v>
      </c>
      <c r="I6" s="6">
        <v>3.5211270000000002E-3</v>
      </c>
      <c r="J6" t="s">
        <v>263</v>
      </c>
    </row>
    <row r="7" spans="1:10" x14ac:dyDescent="0.25">
      <c r="A7" s="6" t="s">
        <v>202</v>
      </c>
      <c r="B7" s="6" t="s">
        <v>14</v>
      </c>
      <c r="C7" s="6" t="s">
        <v>11</v>
      </c>
      <c r="D7" s="6" t="s">
        <v>205</v>
      </c>
      <c r="E7" s="6">
        <v>1</v>
      </c>
      <c r="F7" s="6">
        <v>6</v>
      </c>
      <c r="G7" s="6">
        <v>278</v>
      </c>
      <c r="H7" s="6">
        <v>23</v>
      </c>
      <c r="I7" s="6">
        <v>2.1126761000000001E-2</v>
      </c>
      <c r="J7" t="s">
        <v>263</v>
      </c>
    </row>
    <row r="8" spans="1:10" x14ac:dyDescent="0.25">
      <c r="A8" s="6" t="s">
        <v>202</v>
      </c>
      <c r="B8" s="6" t="s">
        <v>14</v>
      </c>
      <c r="C8" s="6" t="s">
        <v>11</v>
      </c>
      <c r="D8" s="6" t="s">
        <v>206</v>
      </c>
      <c r="E8" s="6">
        <v>2</v>
      </c>
      <c r="F8" s="6">
        <v>7</v>
      </c>
      <c r="G8" s="6">
        <v>277</v>
      </c>
      <c r="H8" s="6">
        <v>37</v>
      </c>
      <c r="I8" s="6">
        <v>2.4647887E-2</v>
      </c>
      <c r="J8" t="s">
        <v>263</v>
      </c>
    </row>
    <row r="9" spans="1:10" x14ac:dyDescent="0.25">
      <c r="A9" s="6" t="s">
        <v>198</v>
      </c>
      <c r="B9" s="6" t="s">
        <v>14</v>
      </c>
      <c r="C9" s="6" t="s">
        <v>11</v>
      </c>
      <c r="D9" s="6" t="s">
        <v>207</v>
      </c>
      <c r="E9" s="6">
        <v>3</v>
      </c>
      <c r="F9" s="6">
        <v>4</v>
      </c>
      <c r="G9" s="6">
        <v>280</v>
      </c>
      <c r="H9" s="6">
        <v>37</v>
      </c>
      <c r="I9" s="6">
        <v>1.4084507E-2</v>
      </c>
      <c r="J9" t="s">
        <v>263</v>
      </c>
    </row>
    <row r="10" spans="1:10" x14ac:dyDescent="0.25">
      <c r="A10" s="6" t="s">
        <v>202</v>
      </c>
      <c r="B10" s="6" t="s">
        <v>20</v>
      </c>
      <c r="C10" s="6" t="s">
        <v>15</v>
      </c>
      <c r="D10" s="6" t="s">
        <v>208</v>
      </c>
      <c r="E10" s="6">
        <v>1</v>
      </c>
      <c r="F10" s="6">
        <v>8</v>
      </c>
      <c r="G10" s="6">
        <v>276</v>
      </c>
      <c r="H10" s="6">
        <v>40</v>
      </c>
      <c r="I10" s="6">
        <v>2.8169013999999999E-2</v>
      </c>
      <c r="J10" t="s">
        <v>263</v>
      </c>
    </row>
    <row r="11" spans="1:10" x14ac:dyDescent="0.25">
      <c r="A11" s="6" t="s">
        <v>202</v>
      </c>
      <c r="B11" s="6" t="s">
        <v>20</v>
      </c>
      <c r="C11" s="6" t="s">
        <v>15</v>
      </c>
      <c r="D11" s="6" t="s">
        <v>209</v>
      </c>
      <c r="E11" s="6">
        <v>2</v>
      </c>
      <c r="F11" s="6">
        <v>9</v>
      </c>
      <c r="G11" s="6">
        <v>275</v>
      </c>
      <c r="H11" s="6">
        <v>36</v>
      </c>
      <c r="I11" s="6">
        <v>3.1690140999999998E-2</v>
      </c>
      <c r="J11" t="s">
        <v>263</v>
      </c>
    </row>
    <row r="12" spans="1:10" x14ac:dyDescent="0.25">
      <c r="A12" s="6" t="s">
        <v>202</v>
      </c>
      <c r="B12" s="6" t="s">
        <v>20</v>
      </c>
      <c r="C12" s="6" t="s">
        <v>11</v>
      </c>
      <c r="D12" s="6" t="s">
        <v>210</v>
      </c>
      <c r="E12" s="6">
        <v>1</v>
      </c>
      <c r="F12" s="6">
        <v>5</v>
      </c>
      <c r="G12" s="6">
        <v>279</v>
      </c>
      <c r="H12" s="6">
        <v>37</v>
      </c>
      <c r="I12" s="6">
        <v>1.7605633999999998E-2</v>
      </c>
      <c r="J12" t="s">
        <v>263</v>
      </c>
    </row>
    <row r="13" spans="1:10" x14ac:dyDescent="0.25">
      <c r="A13" s="6" t="s">
        <v>202</v>
      </c>
      <c r="B13" s="6" t="s">
        <v>20</v>
      </c>
      <c r="C13" s="6" t="s">
        <v>11</v>
      </c>
      <c r="D13" s="6" t="s">
        <v>211</v>
      </c>
      <c r="E13" s="6">
        <v>2</v>
      </c>
      <c r="F13" s="6">
        <v>13</v>
      </c>
      <c r="G13" s="6">
        <v>271</v>
      </c>
      <c r="H13" s="6">
        <v>53</v>
      </c>
      <c r="I13" s="6">
        <v>4.5774648000000001E-2</v>
      </c>
      <c r="J13" t="s">
        <v>263</v>
      </c>
    </row>
    <row r="14" spans="1:10" x14ac:dyDescent="0.25">
      <c r="A14" s="6" t="s">
        <v>198</v>
      </c>
      <c r="B14" s="6" t="s">
        <v>20</v>
      </c>
      <c r="C14" s="6" t="s">
        <v>11</v>
      </c>
      <c r="D14" s="6" t="s">
        <v>212</v>
      </c>
      <c r="E14" s="6">
        <v>3</v>
      </c>
      <c r="F14" s="6">
        <v>19</v>
      </c>
      <c r="G14" s="6">
        <v>265</v>
      </c>
      <c r="H14" s="6">
        <v>70</v>
      </c>
      <c r="I14" s="6">
        <v>6.6901407999999996E-2</v>
      </c>
      <c r="J14" t="s">
        <v>263</v>
      </c>
    </row>
    <row r="15" spans="1:10" x14ac:dyDescent="0.25">
      <c r="A15" s="6" t="s">
        <v>202</v>
      </c>
      <c r="B15" s="6" t="s">
        <v>25</v>
      </c>
      <c r="C15" s="6" t="s">
        <v>15</v>
      </c>
      <c r="D15" s="6" t="s">
        <v>213</v>
      </c>
      <c r="E15" s="6">
        <v>1</v>
      </c>
      <c r="F15" s="6">
        <v>9</v>
      </c>
      <c r="G15" s="6">
        <v>275</v>
      </c>
      <c r="H15" s="6">
        <v>57</v>
      </c>
      <c r="I15" s="6">
        <v>3.1690140999999998E-2</v>
      </c>
      <c r="J15" t="s">
        <v>263</v>
      </c>
    </row>
    <row r="16" spans="1:10" x14ac:dyDescent="0.25">
      <c r="A16" s="6" t="s">
        <v>202</v>
      </c>
      <c r="B16" s="6" t="s">
        <v>25</v>
      </c>
      <c r="C16" s="6" t="s">
        <v>15</v>
      </c>
      <c r="D16" s="6" t="s">
        <v>214</v>
      </c>
      <c r="E16" s="6">
        <v>2</v>
      </c>
      <c r="F16" s="6">
        <v>22</v>
      </c>
      <c r="G16" s="6">
        <v>262</v>
      </c>
      <c r="H16" s="6">
        <v>103</v>
      </c>
      <c r="I16" s="6">
        <v>7.7464789000000006E-2</v>
      </c>
      <c r="J16" t="s">
        <v>263</v>
      </c>
    </row>
    <row r="17" spans="1:10" x14ac:dyDescent="0.25">
      <c r="A17" s="6" t="s">
        <v>202</v>
      </c>
      <c r="B17" s="6" t="s">
        <v>25</v>
      </c>
      <c r="C17" s="6" t="s">
        <v>11</v>
      </c>
      <c r="D17" s="6" t="s">
        <v>215</v>
      </c>
      <c r="E17" s="6">
        <v>1</v>
      </c>
      <c r="F17" s="6">
        <v>18</v>
      </c>
      <c r="G17" s="6">
        <v>266</v>
      </c>
      <c r="H17" s="6">
        <v>145</v>
      </c>
      <c r="I17" s="6">
        <v>6.3380281999999996E-2</v>
      </c>
      <c r="J17" t="s">
        <v>263</v>
      </c>
    </row>
    <row r="18" spans="1:10" x14ac:dyDescent="0.25">
      <c r="A18" s="6" t="s">
        <v>202</v>
      </c>
      <c r="B18" s="6" t="s">
        <v>25</v>
      </c>
      <c r="C18" s="6" t="s">
        <v>11</v>
      </c>
      <c r="D18" s="6" t="s">
        <v>216</v>
      </c>
      <c r="E18" s="6">
        <v>2</v>
      </c>
      <c r="F18" s="6">
        <v>19</v>
      </c>
      <c r="G18" s="6">
        <v>265</v>
      </c>
      <c r="H18" s="6">
        <v>73</v>
      </c>
      <c r="I18" s="6">
        <v>6.6901407999999996E-2</v>
      </c>
      <c r="J18" t="s">
        <v>263</v>
      </c>
    </row>
    <row r="19" spans="1:10" x14ac:dyDescent="0.25">
      <c r="A19" s="6" t="s">
        <v>198</v>
      </c>
      <c r="B19" s="6" t="s">
        <v>25</v>
      </c>
      <c r="C19" s="6" t="s">
        <v>11</v>
      </c>
      <c r="D19" s="6" t="s">
        <v>217</v>
      </c>
      <c r="E19" s="6">
        <v>3</v>
      </c>
      <c r="F19" s="6">
        <v>25</v>
      </c>
      <c r="G19" s="6">
        <v>259</v>
      </c>
      <c r="H19" s="6">
        <v>91</v>
      </c>
      <c r="I19" s="6">
        <v>8.8028169000000003E-2</v>
      </c>
      <c r="J19" t="s">
        <v>263</v>
      </c>
    </row>
    <row r="20" spans="1:10" x14ac:dyDescent="0.25">
      <c r="A20" s="6" t="s">
        <v>202</v>
      </c>
      <c r="B20" s="6" t="s">
        <v>30</v>
      </c>
      <c r="C20" s="6" t="s">
        <v>15</v>
      </c>
      <c r="D20" s="6" t="s">
        <v>218</v>
      </c>
      <c r="E20" s="6">
        <v>1</v>
      </c>
      <c r="F20" s="6">
        <v>2</v>
      </c>
      <c r="G20" s="6">
        <v>282</v>
      </c>
      <c r="H20" s="6">
        <v>15</v>
      </c>
      <c r="I20" s="6">
        <v>7.0422540000000004E-3</v>
      </c>
      <c r="J20" t="s">
        <v>263</v>
      </c>
    </row>
    <row r="21" spans="1:10" x14ac:dyDescent="0.25">
      <c r="A21" s="6" t="s">
        <v>202</v>
      </c>
      <c r="B21" s="6" t="s">
        <v>30</v>
      </c>
      <c r="C21" s="6" t="s">
        <v>15</v>
      </c>
      <c r="D21" s="6" t="s">
        <v>219</v>
      </c>
      <c r="E21" s="6">
        <v>2</v>
      </c>
      <c r="F21" s="6">
        <v>2</v>
      </c>
      <c r="G21" s="6">
        <v>282</v>
      </c>
      <c r="H21" s="6">
        <v>22</v>
      </c>
      <c r="I21" s="6">
        <v>7.0422540000000004E-3</v>
      </c>
      <c r="J21" t="s">
        <v>263</v>
      </c>
    </row>
    <row r="22" spans="1:10" x14ac:dyDescent="0.25">
      <c r="A22" s="6" t="s">
        <v>202</v>
      </c>
      <c r="B22" s="6" t="s">
        <v>30</v>
      </c>
      <c r="C22" s="6" t="s">
        <v>11</v>
      </c>
      <c r="D22" s="6" t="s">
        <v>220</v>
      </c>
      <c r="E22" s="6">
        <v>1</v>
      </c>
      <c r="F22" s="6">
        <v>2</v>
      </c>
      <c r="G22" s="6">
        <v>282</v>
      </c>
      <c r="H22" s="6">
        <v>6</v>
      </c>
      <c r="I22" s="6">
        <v>7.0422540000000004E-3</v>
      </c>
      <c r="J22" t="s">
        <v>263</v>
      </c>
    </row>
    <row r="23" spans="1:10" x14ac:dyDescent="0.25">
      <c r="A23" s="6" t="s">
        <v>202</v>
      </c>
      <c r="B23" s="6" t="s">
        <v>30</v>
      </c>
      <c r="C23" s="6" t="s">
        <v>11</v>
      </c>
      <c r="D23" s="6" t="s">
        <v>221</v>
      </c>
      <c r="E23" s="6">
        <v>2</v>
      </c>
      <c r="F23" s="6">
        <v>1</v>
      </c>
      <c r="G23" s="6">
        <v>283</v>
      </c>
      <c r="H23" s="6">
        <v>9</v>
      </c>
      <c r="I23" s="6">
        <v>3.5211270000000002E-3</v>
      </c>
      <c r="J23" t="s">
        <v>263</v>
      </c>
    </row>
    <row r="24" spans="1:10" x14ac:dyDescent="0.25">
      <c r="A24" s="6" t="s">
        <v>198</v>
      </c>
      <c r="B24" s="6" t="s">
        <v>30</v>
      </c>
      <c r="C24" s="6" t="s">
        <v>11</v>
      </c>
      <c r="D24" s="6" t="s">
        <v>222</v>
      </c>
      <c r="E24" s="6">
        <v>3</v>
      </c>
      <c r="F24" s="6">
        <v>2</v>
      </c>
      <c r="G24" s="6">
        <v>282</v>
      </c>
      <c r="H24" s="6">
        <v>15</v>
      </c>
      <c r="I24" s="6">
        <v>7.0422540000000004E-3</v>
      </c>
      <c r="J24" t="s">
        <v>263</v>
      </c>
    </row>
    <row r="25" spans="1:10" x14ac:dyDescent="0.25">
      <c r="A25" s="6" t="s">
        <v>202</v>
      </c>
      <c r="B25" s="6" t="s">
        <v>35</v>
      </c>
      <c r="C25" s="6" t="s">
        <v>15</v>
      </c>
      <c r="D25" s="6" t="s">
        <v>223</v>
      </c>
      <c r="E25" s="6">
        <v>1</v>
      </c>
      <c r="F25" s="6">
        <v>1</v>
      </c>
      <c r="G25" s="6">
        <v>283</v>
      </c>
      <c r="H25" s="6">
        <v>9</v>
      </c>
      <c r="I25" s="6">
        <v>3.5211270000000002E-3</v>
      </c>
      <c r="J25" t="s">
        <v>263</v>
      </c>
    </row>
    <row r="26" spans="1:10" x14ac:dyDescent="0.25">
      <c r="A26" s="6" t="s">
        <v>202</v>
      </c>
      <c r="B26" s="6" t="s">
        <v>35</v>
      </c>
      <c r="C26" s="6" t="s">
        <v>15</v>
      </c>
      <c r="D26" s="6" t="s">
        <v>224</v>
      </c>
      <c r="E26" s="6">
        <v>2</v>
      </c>
      <c r="F26" s="6">
        <v>1</v>
      </c>
      <c r="G26" s="6">
        <v>283</v>
      </c>
      <c r="H26" s="6">
        <v>14</v>
      </c>
      <c r="I26" s="6">
        <v>3.5211270000000002E-3</v>
      </c>
      <c r="J26" t="s">
        <v>263</v>
      </c>
    </row>
    <row r="27" spans="1:10" x14ac:dyDescent="0.25">
      <c r="A27" s="6" t="s">
        <v>202</v>
      </c>
      <c r="B27" s="6" t="s">
        <v>35</v>
      </c>
      <c r="C27" s="6" t="s">
        <v>11</v>
      </c>
      <c r="D27" s="6" t="s">
        <v>225</v>
      </c>
      <c r="E27" s="6">
        <v>1</v>
      </c>
      <c r="F27" s="6">
        <v>0</v>
      </c>
      <c r="G27" s="6">
        <v>284</v>
      </c>
      <c r="H27" s="6">
        <v>0</v>
      </c>
      <c r="I27" s="6">
        <v>0</v>
      </c>
      <c r="J27" t="s">
        <v>263</v>
      </c>
    </row>
    <row r="28" spans="1:10" x14ac:dyDescent="0.25">
      <c r="A28" s="6" t="s">
        <v>202</v>
      </c>
      <c r="B28" s="6" t="s">
        <v>35</v>
      </c>
      <c r="C28" s="6" t="s">
        <v>11</v>
      </c>
      <c r="D28" s="6" t="s">
        <v>226</v>
      </c>
      <c r="E28" s="6">
        <v>2</v>
      </c>
      <c r="F28" s="6">
        <v>5</v>
      </c>
      <c r="G28" s="6">
        <v>279</v>
      </c>
      <c r="H28" s="6">
        <v>31</v>
      </c>
      <c r="I28" s="6">
        <v>1.7605633999999998E-2</v>
      </c>
      <c r="J28" t="s">
        <v>263</v>
      </c>
    </row>
    <row r="29" spans="1:10" x14ac:dyDescent="0.25">
      <c r="A29" s="6" t="s">
        <v>198</v>
      </c>
      <c r="B29" s="6" t="s">
        <v>35</v>
      </c>
      <c r="C29" s="6" t="s">
        <v>11</v>
      </c>
      <c r="D29" s="6" t="s">
        <v>227</v>
      </c>
      <c r="E29" s="6">
        <v>3</v>
      </c>
      <c r="F29" s="6">
        <v>14</v>
      </c>
      <c r="G29" s="6">
        <v>270</v>
      </c>
      <c r="H29" s="6">
        <v>104</v>
      </c>
      <c r="I29" s="6">
        <v>4.9295775E-2</v>
      </c>
      <c r="J29" t="s">
        <v>263</v>
      </c>
    </row>
    <row r="30" spans="1:10" x14ac:dyDescent="0.25">
      <c r="A30" s="6" t="s">
        <v>202</v>
      </c>
      <c r="B30" s="6" t="s">
        <v>40</v>
      </c>
      <c r="C30" s="6" t="s">
        <v>15</v>
      </c>
      <c r="D30" s="6" t="s">
        <v>228</v>
      </c>
      <c r="E30" s="6">
        <v>1</v>
      </c>
      <c r="F30" s="6">
        <v>3</v>
      </c>
      <c r="G30" s="6">
        <v>281</v>
      </c>
      <c r="H30" s="6">
        <v>9</v>
      </c>
      <c r="I30" s="6">
        <v>1.0563380000000001E-2</v>
      </c>
      <c r="J30" t="s">
        <v>263</v>
      </c>
    </row>
    <row r="31" spans="1:10" x14ac:dyDescent="0.25">
      <c r="A31" s="6" t="s">
        <v>202</v>
      </c>
      <c r="B31" s="6" t="s">
        <v>40</v>
      </c>
      <c r="C31" s="6" t="s">
        <v>15</v>
      </c>
      <c r="D31" s="6" t="s">
        <v>229</v>
      </c>
      <c r="E31" s="6">
        <v>2</v>
      </c>
      <c r="F31" s="6">
        <v>3</v>
      </c>
      <c r="G31" s="6">
        <v>281</v>
      </c>
      <c r="H31" s="6">
        <v>14</v>
      </c>
      <c r="I31" s="6">
        <v>1.0563380000000001E-2</v>
      </c>
      <c r="J31" t="s">
        <v>263</v>
      </c>
    </row>
    <row r="32" spans="1:10" x14ac:dyDescent="0.25">
      <c r="A32" s="6" t="s">
        <v>202</v>
      </c>
      <c r="B32" s="6" t="s">
        <v>40</v>
      </c>
      <c r="C32" s="6" t="s">
        <v>11</v>
      </c>
      <c r="D32" s="6" t="s">
        <v>230</v>
      </c>
      <c r="E32" s="6">
        <v>1</v>
      </c>
      <c r="F32" s="6">
        <v>14</v>
      </c>
      <c r="G32" s="6">
        <v>270</v>
      </c>
      <c r="H32" s="6">
        <v>120</v>
      </c>
      <c r="I32" s="6">
        <v>4.9295775E-2</v>
      </c>
      <c r="J32" t="s">
        <v>263</v>
      </c>
    </row>
    <row r="33" spans="1:10" x14ac:dyDescent="0.25">
      <c r="A33" s="6" t="s">
        <v>202</v>
      </c>
      <c r="B33" s="6" t="s">
        <v>40</v>
      </c>
      <c r="C33" s="6" t="s">
        <v>11</v>
      </c>
      <c r="D33" s="6" t="s">
        <v>231</v>
      </c>
      <c r="E33" s="6">
        <v>2</v>
      </c>
      <c r="F33" s="6">
        <v>7</v>
      </c>
      <c r="G33" s="6">
        <v>277</v>
      </c>
      <c r="H33" s="6">
        <v>37</v>
      </c>
      <c r="I33" s="6">
        <v>2.4647887E-2</v>
      </c>
      <c r="J33" t="s">
        <v>263</v>
      </c>
    </row>
    <row r="34" spans="1:10" x14ac:dyDescent="0.25">
      <c r="A34" s="6" t="s">
        <v>198</v>
      </c>
      <c r="B34" s="6" t="s">
        <v>40</v>
      </c>
      <c r="C34" s="6" t="s">
        <v>11</v>
      </c>
      <c r="D34" s="6" t="s">
        <v>232</v>
      </c>
      <c r="E34" s="6">
        <v>3</v>
      </c>
      <c r="F34" s="6">
        <v>7</v>
      </c>
      <c r="G34" s="6">
        <v>277</v>
      </c>
      <c r="H34" s="6">
        <v>37</v>
      </c>
      <c r="I34" s="6">
        <v>2.4647887E-2</v>
      </c>
      <c r="J34" t="s">
        <v>263</v>
      </c>
    </row>
    <row r="35" spans="1:10" x14ac:dyDescent="0.25">
      <c r="A35" s="6" t="s">
        <v>198</v>
      </c>
      <c r="B35" s="6" t="s">
        <v>45</v>
      </c>
      <c r="C35" s="6" t="s">
        <v>11</v>
      </c>
      <c r="D35" s="6" t="s">
        <v>233</v>
      </c>
      <c r="E35" s="6">
        <v>3</v>
      </c>
      <c r="F35" s="6">
        <v>0</v>
      </c>
      <c r="G35" s="6">
        <v>284</v>
      </c>
      <c r="H35" s="6">
        <v>0</v>
      </c>
      <c r="I35" s="6">
        <v>0</v>
      </c>
      <c r="J35" t="s">
        <v>263</v>
      </c>
    </row>
    <row r="36" spans="1:10" x14ac:dyDescent="0.25">
      <c r="A36" s="6" t="s">
        <v>198</v>
      </c>
      <c r="B36" s="6" t="s">
        <v>46</v>
      </c>
      <c r="C36" s="6" t="s">
        <v>11</v>
      </c>
      <c r="D36" s="6" t="s">
        <v>234</v>
      </c>
      <c r="E36" s="6">
        <v>3</v>
      </c>
      <c r="F36" s="6">
        <v>12</v>
      </c>
      <c r="G36" s="6">
        <v>272</v>
      </c>
      <c r="H36" s="6">
        <v>53</v>
      </c>
      <c r="I36" s="6">
        <v>4.2253521000000002E-2</v>
      </c>
      <c r="J36" t="s">
        <v>263</v>
      </c>
    </row>
    <row r="37" spans="1:10" x14ac:dyDescent="0.25">
      <c r="A37" s="6" t="s">
        <v>202</v>
      </c>
      <c r="B37" s="6" t="s">
        <v>47</v>
      </c>
      <c r="C37" s="6" t="s">
        <v>15</v>
      </c>
      <c r="D37" s="6" t="s">
        <v>235</v>
      </c>
      <c r="E37" s="6">
        <v>1</v>
      </c>
      <c r="F37" s="6">
        <v>4</v>
      </c>
      <c r="G37" s="6">
        <v>280</v>
      </c>
      <c r="H37" s="6">
        <v>31</v>
      </c>
      <c r="I37" s="6">
        <v>1.4084507E-2</v>
      </c>
      <c r="J37" t="s">
        <v>263</v>
      </c>
    </row>
    <row r="38" spans="1:10" x14ac:dyDescent="0.25">
      <c r="A38" s="6" t="s">
        <v>202</v>
      </c>
      <c r="B38" s="6" t="s">
        <v>47</v>
      </c>
      <c r="C38" s="6" t="s">
        <v>15</v>
      </c>
      <c r="D38" s="6" t="s">
        <v>236</v>
      </c>
      <c r="E38" s="6">
        <v>2</v>
      </c>
      <c r="F38" s="6">
        <v>2</v>
      </c>
      <c r="G38" s="6">
        <v>282</v>
      </c>
      <c r="H38" s="6">
        <v>33</v>
      </c>
      <c r="I38" s="6">
        <v>7.0422540000000004E-3</v>
      </c>
      <c r="J38" t="s">
        <v>263</v>
      </c>
    </row>
    <row r="39" spans="1:10" x14ac:dyDescent="0.25">
      <c r="A39" s="6" t="s">
        <v>202</v>
      </c>
      <c r="B39" s="6" t="s">
        <v>47</v>
      </c>
      <c r="C39" s="6" t="s">
        <v>11</v>
      </c>
      <c r="D39" s="6" t="s">
        <v>237</v>
      </c>
      <c r="E39" s="6">
        <v>1</v>
      </c>
      <c r="F39" s="6">
        <v>9</v>
      </c>
      <c r="G39" s="6">
        <v>275</v>
      </c>
      <c r="H39" s="6">
        <v>117</v>
      </c>
      <c r="I39" s="6">
        <v>3.1690140999999998E-2</v>
      </c>
      <c r="J39" t="s">
        <v>263</v>
      </c>
    </row>
    <row r="40" spans="1:10" x14ac:dyDescent="0.25">
      <c r="A40" s="6" t="s">
        <v>202</v>
      </c>
      <c r="B40" s="6" t="s">
        <v>47</v>
      </c>
      <c r="C40" s="6" t="s">
        <v>11</v>
      </c>
      <c r="D40" s="6" t="s">
        <v>238</v>
      </c>
      <c r="E40" s="6">
        <v>2</v>
      </c>
      <c r="F40" s="6">
        <v>3</v>
      </c>
      <c r="G40" s="6">
        <v>281</v>
      </c>
      <c r="H40" s="6">
        <v>28</v>
      </c>
      <c r="I40" s="6">
        <v>1.0563380000000001E-2</v>
      </c>
      <c r="J40" t="s">
        <v>263</v>
      </c>
    </row>
    <row r="41" spans="1:10" x14ac:dyDescent="0.25">
      <c r="A41" s="6" t="s">
        <v>198</v>
      </c>
      <c r="B41" s="6" t="s">
        <v>47</v>
      </c>
      <c r="C41" s="6" t="s">
        <v>11</v>
      </c>
      <c r="D41" s="6" t="s">
        <v>239</v>
      </c>
      <c r="E41" s="6">
        <v>3</v>
      </c>
      <c r="F41" s="6">
        <v>4</v>
      </c>
      <c r="G41" s="6">
        <v>280</v>
      </c>
      <c r="H41" s="6">
        <v>37</v>
      </c>
      <c r="I41" s="6">
        <v>1.4084507E-2</v>
      </c>
      <c r="J41" t="s">
        <v>263</v>
      </c>
    </row>
    <row r="42" spans="1:10" x14ac:dyDescent="0.25">
      <c r="A42" s="6" t="s">
        <v>202</v>
      </c>
      <c r="B42" s="6" t="s">
        <v>52</v>
      </c>
      <c r="C42" s="6" t="s">
        <v>15</v>
      </c>
      <c r="D42" s="6" t="s">
        <v>240</v>
      </c>
      <c r="E42" s="6">
        <v>1</v>
      </c>
      <c r="F42" s="6">
        <v>13</v>
      </c>
      <c r="G42" s="6">
        <v>271</v>
      </c>
      <c r="H42" s="6">
        <v>95</v>
      </c>
      <c r="I42" s="6">
        <v>4.5774648000000001E-2</v>
      </c>
      <c r="J42" t="s">
        <v>263</v>
      </c>
    </row>
    <row r="43" spans="1:10" x14ac:dyDescent="0.25">
      <c r="A43" s="6" t="s">
        <v>202</v>
      </c>
      <c r="B43" s="6" t="s">
        <v>52</v>
      </c>
      <c r="C43" s="6" t="s">
        <v>15</v>
      </c>
      <c r="D43" s="6" t="s">
        <v>241</v>
      </c>
      <c r="E43" s="6">
        <v>2</v>
      </c>
      <c r="F43" s="6">
        <v>15</v>
      </c>
      <c r="G43" s="6">
        <v>269</v>
      </c>
      <c r="H43" s="6">
        <v>79</v>
      </c>
      <c r="I43" s="6">
        <v>5.2816900999999999E-2</v>
      </c>
      <c r="J43" t="s">
        <v>263</v>
      </c>
    </row>
    <row r="44" spans="1:10" x14ac:dyDescent="0.25">
      <c r="A44" s="6" t="s">
        <v>202</v>
      </c>
      <c r="B44" s="6" t="s">
        <v>52</v>
      </c>
      <c r="C44" s="6" t="s">
        <v>11</v>
      </c>
      <c r="D44" s="6" t="s">
        <v>242</v>
      </c>
      <c r="E44" s="6">
        <v>1</v>
      </c>
      <c r="F44" s="6">
        <v>15</v>
      </c>
      <c r="G44" s="6">
        <v>269</v>
      </c>
      <c r="H44" s="6">
        <v>87</v>
      </c>
      <c r="I44" s="6">
        <v>5.2816900999999999E-2</v>
      </c>
      <c r="J44" t="s">
        <v>263</v>
      </c>
    </row>
    <row r="45" spans="1:10" x14ac:dyDescent="0.25">
      <c r="A45" s="6" t="s">
        <v>202</v>
      </c>
      <c r="B45" s="6" t="s">
        <v>52</v>
      </c>
      <c r="C45" s="6" t="s">
        <v>11</v>
      </c>
      <c r="D45" s="6" t="s">
        <v>243</v>
      </c>
      <c r="E45" s="6">
        <v>2</v>
      </c>
      <c r="F45" s="6">
        <v>1</v>
      </c>
      <c r="G45" s="6">
        <v>283</v>
      </c>
      <c r="H45" s="6">
        <v>8</v>
      </c>
      <c r="I45" s="6">
        <v>3.5211270000000002E-3</v>
      </c>
      <c r="J45" t="s">
        <v>263</v>
      </c>
    </row>
    <row r="46" spans="1:10" x14ac:dyDescent="0.25">
      <c r="A46" s="6" t="s">
        <v>198</v>
      </c>
      <c r="B46" s="6" t="s">
        <v>52</v>
      </c>
      <c r="C46" s="6" t="s">
        <v>11</v>
      </c>
      <c r="D46" s="6" t="s">
        <v>244</v>
      </c>
      <c r="E46" s="6">
        <v>3</v>
      </c>
      <c r="F46" s="6">
        <v>14</v>
      </c>
      <c r="G46" s="6">
        <v>270</v>
      </c>
      <c r="H46" s="6">
        <v>37</v>
      </c>
      <c r="I46" s="6">
        <v>4.9295775E-2</v>
      </c>
      <c r="J46" t="s">
        <v>263</v>
      </c>
    </row>
    <row r="47" spans="1:10" x14ac:dyDescent="0.25">
      <c r="A47" s="6" t="s">
        <v>245</v>
      </c>
      <c r="B47" s="6" t="s">
        <v>149</v>
      </c>
      <c r="C47" s="6" t="s">
        <v>15</v>
      </c>
      <c r="D47" s="6" t="s">
        <v>246</v>
      </c>
      <c r="E47" s="6">
        <v>1</v>
      </c>
      <c r="F47" s="6">
        <v>18</v>
      </c>
      <c r="G47" s="6">
        <v>266</v>
      </c>
      <c r="H47" s="6">
        <v>81</v>
      </c>
      <c r="I47" s="6">
        <v>6.3380281999999996E-2</v>
      </c>
      <c r="J47" t="s">
        <v>262</v>
      </c>
    </row>
    <row r="48" spans="1:10" x14ac:dyDescent="0.25">
      <c r="A48" s="6" t="s">
        <v>245</v>
      </c>
      <c r="B48" s="6" t="s">
        <v>149</v>
      </c>
      <c r="C48" s="6" t="s">
        <v>15</v>
      </c>
      <c r="D48" s="6" t="s">
        <v>247</v>
      </c>
      <c r="E48" s="6">
        <v>2</v>
      </c>
      <c r="F48" s="6">
        <v>37</v>
      </c>
      <c r="G48" s="6">
        <v>247</v>
      </c>
      <c r="H48" s="6">
        <v>132</v>
      </c>
      <c r="I48" s="6">
        <v>0.13028169000000001</v>
      </c>
      <c r="J48" t="s">
        <v>262</v>
      </c>
    </row>
    <row r="49" spans="1:10" x14ac:dyDescent="0.25">
      <c r="A49" s="6" t="s">
        <v>245</v>
      </c>
      <c r="B49" s="6" t="s">
        <v>149</v>
      </c>
      <c r="C49" s="6" t="s">
        <v>11</v>
      </c>
      <c r="D49" s="6" t="s">
        <v>248</v>
      </c>
      <c r="E49" s="6">
        <v>1</v>
      </c>
      <c r="F49" s="6">
        <v>45</v>
      </c>
      <c r="G49" s="6">
        <v>239</v>
      </c>
      <c r="H49" s="6">
        <v>140</v>
      </c>
      <c r="I49" s="6">
        <v>0.158450704</v>
      </c>
      <c r="J49" t="s">
        <v>262</v>
      </c>
    </row>
    <row r="50" spans="1:10" x14ac:dyDescent="0.25">
      <c r="A50" s="6" t="s">
        <v>245</v>
      </c>
      <c r="B50" s="6" t="s">
        <v>149</v>
      </c>
      <c r="C50" s="6" t="s">
        <v>11</v>
      </c>
      <c r="D50" s="6" t="s">
        <v>249</v>
      </c>
      <c r="E50" s="6">
        <v>2</v>
      </c>
      <c r="F50" s="6">
        <v>27</v>
      </c>
      <c r="G50" s="6">
        <v>257</v>
      </c>
      <c r="H50" s="6">
        <v>81</v>
      </c>
      <c r="I50" s="6">
        <v>9.5070423000000001E-2</v>
      </c>
      <c r="J50" t="s">
        <v>262</v>
      </c>
    </row>
    <row r="51" spans="1:10" x14ac:dyDescent="0.25">
      <c r="A51" s="6" t="s">
        <v>245</v>
      </c>
      <c r="B51" s="6" t="s">
        <v>149</v>
      </c>
      <c r="C51" s="6" t="s">
        <v>11</v>
      </c>
      <c r="D51" s="6" t="s">
        <v>250</v>
      </c>
      <c r="E51" s="6">
        <v>3</v>
      </c>
      <c r="F51" s="6">
        <v>72</v>
      </c>
      <c r="G51" s="6">
        <v>212</v>
      </c>
      <c r="H51" s="6">
        <v>163</v>
      </c>
      <c r="I51" s="6">
        <v>0.25352112700000001</v>
      </c>
      <c r="J51" t="s">
        <v>262</v>
      </c>
    </row>
    <row r="52" spans="1:10" x14ac:dyDescent="0.25">
      <c r="A52" s="6" t="s">
        <v>245</v>
      </c>
      <c r="B52" s="6" t="s">
        <v>151</v>
      </c>
      <c r="C52" s="6" t="s">
        <v>15</v>
      </c>
      <c r="D52" s="6" t="s">
        <v>251</v>
      </c>
      <c r="E52" s="6">
        <v>1</v>
      </c>
      <c r="F52" s="6">
        <v>7</v>
      </c>
      <c r="G52" s="6">
        <v>277</v>
      </c>
      <c r="H52" s="6">
        <v>37</v>
      </c>
      <c r="I52" s="6">
        <v>2.4647887E-2</v>
      </c>
      <c r="J52" t="s">
        <v>262</v>
      </c>
    </row>
    <row r="53" spans="1:10" x14ac:dyDescent="0.25">
      <c r="A53" s="6" t="s">
        <v>245</v>
      </c>
      <c r="B53" s="6" t="s">
        <v>151</v>
      </c>
      <c r="C53" s="6" t="s">
        <v>15</v>
      </c>
      <c r="D53" s="6" t="s">
        <v>252</v>
      </c>
      <c r="E53" s="6">
        <v>2</v>
      </c>
      <c r="F53" s="6">
        <v>7</v>
      </c>
      <c r="G53" s="6">
        <v>277</v>
      </c>
      <c r="H53" s="6">
        <v>37</v>
      </c>
      <c r="I53" s="6">
        <v>2.4647887E-2</v>
      </c>
      <c r="J53" t="s">
        <v>262</v>
      </c>
    </row>
    <row r="54" spans="1:10" x14ac:dyDescent="0.25">
      <c r="A54" s="6" t="s">
        <v>245</v>
      </c>
      <c r="B54" s="6" t="s">
        <v>151</v>
      </c>
      <c r="C54" s="6" t="s">
        <v>11</v>
      </c>
      <c r="D54" s="6" t="s">
        <v>253</v>
      </c>
      <c r="E54" s="6">
        <v>1</v>
      </c>
      <c r="F54" s="6">
        <v>7</v>
      </c>
      <c r="G54" s="6">
        <v>277</v>
      </c>
      <c r="H54" s="6">
        <v>37</v>
      </c>
      <c r="I54" s="6">
        <v>2.4647887E-2</v>
      </c>
      <c r="J54" t="s">
        <v>262</v>
      </c>
    </row>
    <row r="55" spans="1:10" x14ac:dyDescent="0.25">
      <c r="A55" s="6" t="s">
        <v>245</v>
      </c>
      <c r="B55" s="6" t="s">
        <v>151</v>
      </c>
      <c r="C55" s="6" t="s">
        <v>11</v>
      </c>
      <c r="D55" s="6" t="s">
        <v>254</v>
      </c>
      <c r="E55" s="6">
        <v>2</v>
      </c>
      <c r="F55" s="6">
        <v>7</v>
      </c>
      <c r="G55" s="6">
        <v>277</v>
      </c>
      <c r="H55" s="6">
        <v>37</v>
      </c>
      <c r="I55" s="6">
        <v>2.4647887E-2</v>
      </c>
      <c r="J55" t="s">
        <v>262</v>
      </c>
    </row>
    <row r="56" spans="1:10" x14ac:dyDescent="0.25">
      <c r="A56" s="6" t="s">
        <v>245</v>
      </c>
      <c r="B56" s="6" t="s">
        <v>151</v>
      </c>
      <c r="C56" s="6" t="s">
        <v>11</v>
      </c>
      <c r="D56" s="6" t="s">
        <v>255</v>
      </c>
      <c r="E56" s="6">
        <v>3</v>
      </c>
      <c r="F56" s="6">
        <v>5</v>
      </c>
      <c r="G56" s="6">
        <v>279</v>
      </c>
      <c r="H56" s="6">
        <v>31</v>
      </c>
      <c r="I56" s="6">
        <v>1.7605633999999998E-2</v>
      </c>
      <c r="J56" t="s">
        <v>262</v>
      </c>
    </row>
    <row r="57" spans="1:10" x14ac:dyDescent="0.25">
      <c r="A57" s="6" t="s">
        <v>245</v>
      </c>
      <c r="B57" s="6" t="s">
        <v>150</v>
      </c>
      <c r="C57" s="6" t="s">
        <v>15</v>
      </c>
      <c r="D57" s="6" t="s">
        <v>256</v>
      </c>
      <c r="E57" s="6">
        <v>1</v>
      </c>
      <c r="F57" s="6">
        <v>15</v>
      </c>
      <c r="G57" s="6">
        <v>269</v>
      </c>
      <c r="H57" s="6">
        <v>82</v>
      </c>
      <c r="I57" s="6">
        <v>5.2816900999999999E-2</v>
      </c>
      <c r="J57" t="s">
        <v>262</v>
      </c>
    </row>
    <row r="58" spans="1:10" x14ac:dyDescent="0.25">
      <c r="A58" s="6" t="s">
        <v>245</v>
      </c>
      <c r="B58" s="6" t="s">
        <v>150</v>
      </c>
      <c r="C58" s="6" t="s">
        <v>15</v>
      </c>
      <c r="D58" s="6" t="s">
        <v>257</v>
      </c>
      <c r="E58" s="6">
        <v>2</v>
      </c>
      <c r="F58" s="6">
        <v>69</v>
      </c>
      <c r="G58" s="6">
        <v>215</v>
      </c>
      <c r="H58" s="6">
        <v>140</v>
      </c>
      <c r="I58" s="6">
        <v>0.24295774647887325</v>
      </c>
      <c r="J58" t="s">
        <v>262</v>
      </c>
    </row>
    <row r="59" spans="1:10" x14ac:dyDescent="0.25">
      <c r="A59" s="6" t="s">
        <v>245</v>
      </c>
      <c r="B59" s="6" t="s">
        <v>150</v>
      </c>
      <c r="C59" s="6" t="s">
        <v>11</v>
      </c>
      <c r="D59" s="6" t="s">
        <v>258</v>
      </c>
      <c r="E59" s="6">
        <v>1</v>
      </c>
      <c r="F59" s="6">
        <v>52</v>
      </c>
      <c r="G59" s="6">
        <v>232</v>
      </c>
      <c r="H59" s="6">
        <v>121</v>
      </c>
      <c r="I59" s="6">
        <v>0.183098592</v>
      </c>
      <c r="J59" t="s">
        <v>262</v>
      </c>
    </row>
    <row r="60" spans="1:10" x14ac:dyDescent="0.25">
      <c r="A60" s="6" t="s">
        <v>245</v>
      </c>
      <c r="B60" s="6" t="s">
        <v>150</v>
      </c>
      <c r="C60" s="6" t="s">
        <v>11</v>
      </c>
      <c r="D60" s="6" t="s">
        <v>259</v>
      </c>
      <c r="E60" s="6">
        <v>2</v>
      </c>
      <c r="F60" s="6">
        <v>75</v>
      </c>
      <c r="G60" s="6">
        <v>209</v>
      </c>
      <c r="H60" s="6">
        <v>156</v>
      </c>
      <c r="I60" s="6">
        <v>0.26408450700000002</v>
      </c>
      <c r="J60" t="s">
        <v>262</v>
      </c>
    </row>
    <row r="61" spans="1:10" x14ac:dyDescent="0.25">
      <c r="A61" s="6" t="s">
        <v>245</v>
      </c>
      <c r="B61" s="6" t="s">
        <v>150</v>
      </c>
      <c r="C61" s="6" t="s">
        <v>11</v>
      </c>
      <c r="D61" s="6" t="s">
        <v>260</v>
      </c>
      <c r="E61" s="6">
        <v>3</v>
      </c>
      <c r="F61" s="6">
        <v>130</v>
      </c>
      <c r="G61" s="6">
        <v>154</v>
      </c>
      <c r="H61" s="6">
        <v>256</v>
      </c>
      <c r="I61" s="6">
        <v>0.45774647899999998</v>
      </c>
      <c r="J61" t="s">
        <v>262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85226-FDED-4D19-8B02-874F18632C9A}">
  <dimension ref="A3:H23"/>
  <sheetViews>
    <sheetView workbookViewId="0">
      <selection activeCell="E23" sqref="E23"/>
    </sheetView>
  </sheetViews>
  <sheetFormatPr defaultRowHeight="13.8" x14ac:dyDescent="0.25"/>
  <cols>
    <col min="1" max="1" width="21.88671875" bestFit="1" customWidth="1"/>
    <col min="2" max="2" width="20.6640625" bestFit="1" customWidth="1"/>
    <col min="3" max="7" width="9.109375" bestFit="1" customWidth="1"/>
    <col min="8" max="8" width="6" bestFit="1" customWidth="1"/>
    <col min="9" max="9" width="5.109375" bestFit="1" customWidth="1"/>
  </cols>
  <sheetData>
    <row r="3" spans="1:8" x14ac:dyDescent="0.25">
      <c r="A3" s="1" t="s">
        <v>58</v>
      </c>
      <c r="C3" s="1" t="s">
        <v>4</v>
      </c>
      <c r="D3" s="1" t="s">
        <v>2</v>
      </c>
    </row>
    <row r="4" spans="1:8" x14ac:dyDescent="0.25">
      <c r="C4">
        <v>1</v>
      </c>
      <c r="E4">
        <v>2</v>
      </c>
      <c r="G4">
        <v>3</v>
      </c>
      <c r="H4" t="s">
        <v>57</v>
      </c>
    </row>
    <row r="5" spans="1:8" x14ac:dyDescent="0.25">
      <c r="A5" s="1" t="s">
        <v>177</v>
      </c>
      <c r="B5" s="1" t="s">
        <v>1</v>
      </c>
      <c r="C5" t="s">
        <v>15</v>
      </c>
      <c r="D5" t="s">
        <v>11</v>
      </c>
      <c r="E5" t="s">
        <v>15</v>
      </c>
      <c r="F5" t="s">
        <v>11</v>
      </c>
      <c r="G5" t="s">
        <v>11</v>
      </c>
    </row>
    <row r="6" spans="1:8" x14ac:dyDescent="0.25">
      <c r="A6" t="s">
        <v>179</v>
      </c>
      <c r="B6" t="s">
        <v>149</v>
      </c>
      <c r="C6" s="2">
        <v>7.7464788732394305E-2</v>
      </c>
      <c r="D6" s="2">
        <v>0.14436619718309801</v>
      </c>
      <c r="E6" s="2">
        <v>0.15140845070422501</v>
      </c>
      <c r="F6" s="2">
        <v>0.15845070422535201</v>
      </c>
      <c r="G6" s="2">
        <v>0.31690140845070403</v>
      </c>
      <c r="H6" s="2">
        <v>0.16971830985915468</v>
      </c>
    </row>
    <row r="7" spans="1:8" x14ac:dyDescent="0.25">
      <c r="B7" t="s">
        <v>151</v>
      </c>
      <c r="C7" s="2">
        <v>2.4647887323943601E-2</v>
      </c>
      <c r="D7" s="2">
        <v>2.1126760563380202E-2</v>
      </c>
      <c r="E7" s="2">
        <v>2.4647887323943601E-2</v>
      </c>
      <c r="F7" s="2">
        <v>2.4647887323943601E-2</v>
      </c>
      <c r="G7" s="2">
        <v>3.8732394366197097E-2</v>
      </c>
      <c r="H7" s="2">
        <v>2.676056338028162E-2</v>
      </c>
    </row>
    <row r="8" spans="1:8" x14ac:dyDescent="0.25">
      <c r="B8" t="s">
        <v>150</v>
      </c>
      <c r="C8" s="2">
        <v>0.161971830985915</v>
      </c>
      <c r="D8" s="2">
        <v>0.23943661971830901</v>
      </c>
      <c r="E8" s="2">
        <v>0.38380281690140799</v>
      </c>
      <c r="F8" s="2">
        <v>0.39436619718309801</v>
      </c>
      <c r="G8" s="2">
        <v>0.44718309859154898</v>
      </c>
      <c r="H8" s="2">
        <v>0.32535211267605579</v>
      </c>
    </row>
    <row r="9" spans="1:8" x14ac:dyDescent="0.25">
      <c r="A9" t="s">
        <v>178</v>
      </c>
      <c r="B9" t="s">
        <v>10</v>
      </c>
      <c r="C9" s="2"/>
      <c r="D9" s="2"/>
      <c r="E9" s="2"/>
      <c r="F9" s="2"/>
      <c r="G9" s="2">
        <v>3.5211267605633799E-3</v>
      </c>
      <c r="H9" s="2">
        <v>3.5211267605633799E-3</v>
      </c>
    </row>
    <row r="10" spans="1:8" x14ac:dyDescent="0.25">
      <c r="B10" t="s">
        <v>61</v>
      </c>
      <c r="C10" s="2"/>
      <c r="D10" s="2"/>
      <c r="E10" s="2"/>
      <c r="F10" s="2"/>
      <c r="G10" s="2">
        <v>0</v>
      </c>
      <c r="H10" s="2">
        <v>0</v>
      </c>
    </row>
    <row r="11" spans="1:8" x14ac:dyDescent="0.25">
      <c r="B11" t="s">
        <v>12</v>
      </c>
      <c r="C11" s="2"/>
      <c r="D11" s="2"/>
      <c r="E11" s="2"/>
      <c r="F11" s="2"/>
      <c r="G11" s="2">
        <v>2.8169014084507001E-2</v>
      </c>
      <c r="H11" s="2">
        <v>2.8169014084507001E-2</v>
      </c>
    </row>
    <row r="12" spans="1:8" x14ac:dyDescent="0.25">
      <c r="B12" t="s">
        <v>13</v>
      </c>
      <c r="C12" s="2"/>
      <c r="D12" s="2"/>
      <c r="E12" s="2"/>
      <c r="F12" s="2"/>
      <c r="G12" s="2">
        <v>2.1126760563380202E-2</v>
      </c>
      <c r="H12" s="2">
        <v>2.1126760563380202E-2</v>
      </c>
    </row>
    <row r="13" spans="1:8" x14ac:dyDescent="0.25">
      <c r="B13" t="s">
        <v>14</v>
      </c>
      <c r="C13" s="2">
        <v>3.5211267605633798E-2</v>
      </c>
      <c r="D13" s="2">
        <v>5.9859154929577399E-2</v>
      </c>
      <c r="E13" s="2">
        <v>1.0563380281690101E-2</v>
      </c>
      <c r="F13" s="2">
        <v>0</v>
      </c>
      <c r="G13" s="2">
        <v>0.13380281690140799</v>
      </c>
      <c r="H13" s="2">
        <v>4.7887323943661859E-2</v>
      </c>
    </row>
    <row r="14" spans="1:8" x14ac:dyDescent="0.25">
      <c r="B14" t="s">
        <v>20</v>
      </c>
      <c r="C14" s="2">
        <v>7.0422535211267595E-2</v>
      </c>
      <c r="D14" s="2">
        <v>4.92957746478873E-2</v>
      </c>
      <c r="E14" s="2">
        <v>3.5211267605633798E-2</v>
      </c>
      <c r="F14" s="2">
        <v>2.4647887323943601E-2</v>
      </c>
      <c r="G14" s="2">
        <v>0.140845070422535</v>
      </c>
      <c r="H14" s="2">
        <v>6.4084507042253464E-2</v>
      </c>
    </row>
    <row r="15" spans="1:8" x14ac:dyDescent="0.25">
      <c r="B15" t="s">
        <v>25</v>
      </c>
      <c r="C15" s="2">
        <v>5.6338028169014003E-2</v>
      </c>
      <c r="D15" s="2">
        <v>0.109154929577464</v>
      </c>
      <c r="E15" s="2">
        <v>7.3943661971830901E-2</v>
      </c>
      <c r="F15" s="2">
        <v>9.5070422535211196E-2</v>
      </c>
      <c r="G15" s="2">
        <v>8.0985915492957694E-2</v>
      </c>
      <c r="H15" s="2">
        <v>8.3098591549295567E-2</v>
      </c>
    </row>
    <row r="16" spans="1:8" x14ac:dyDescent="0.25">
      <c r="B16" t="s">
        <v>30</v>
      </c>
      <c r="C16" s="2">
        <v>3.5211267605633799E-3</v>
      </c>
      <c r="D16" s="2">
        <v>0</v>
      </c>
      <c r="E16" s="2">
        <v>2.1126760563380202E-2</v>
      </c>
      <c r="F16" s="2">
        <v>1.4084507042253501E-2</v>
      </c>
      <c r="G16" s="2">
        <v>3.5211267605633799E-3</v>
      </c>
      <c r="H16" s="2">
        <v>8.4507042253520927E-3</v>
      </c>
    </row>
    <row r="17" spans="1:8" x14ac:dyDescent="0.25">
      <c r="B17" t="s">
        <v>35</v>
      </c>
      <c r="C17" s="2">
        <v>0.11267605633802801</v>
      </c>
      <c r="D17" s="2">
        <v>0.13380281690140799</v>
      </c>
      <c r="E17" s="2">
        <v>0.11619718309859101</v>
      </c>
      <c r="F17" s="2">
        <v>0.20070422535211199</v>
      </c>
      <c r="G17" s="2">
        <v>0.13380281690140799</v>
      </c>
      <c r="H17" s="2">
        <v>0.1394366197183094</v>
      </c>
    </row>
    <row r="18" spans="1:8" x14ac:dyDescent="0.25">
      <c r="B18" t="s">
        <v>40</v>
      </c>
      <c r="C18" s="2">
        <v>5.2816901408450703E-2</v>
      </c>
      <c r="D18" s="2">
        <v>9.85915492957746E-2</v>
      </c>
      <c r="E18" s="2">
        <v>8.0985915492957694E-2</v>
      </c>
      <c r="F18" s="2">
        <v>0.140845070422535</v>
      </c>
      <c r="G18" s="2">
        <v>0.11619718309859101</v>
      </c>
      <c r="H18" s="2">
        <v>9.7887323943661814E-2</v>
      </c>
    </row>
    <row r="19" spans="1:8" x14ac:dyDescent="0.25">
      <c r="B19" t="s">
        <v>45</v>
      </c>
      <c r="C19" s="2"/>
      <c r="D19" s="2"/>
      <c r="E19" s="2"/>
      <c r="F19" s="2"/>
      <c r="G19" s="2">
        <v>8.8028169014084501E-2</v>
      </c>
      <c r="H19" s="2">
        <v>8.8028169014084501E-2</v>
      </c>
    </row>
    <row r="20" spans="1:8" x14ac:dyDescent="0.25">
      <c r="B20" t="s">
        <v>46</v>
      </c>
      <c r="C20" s="2"/>
      <c r="D20" s="2"/>
      <c r="E20" s="2"/>
      <c r="F20" s="2"/>
      <c r="G20" s="2">
        <v>9.5070422535211196E-2</v>
      </c>
      <c r="H20" s="2">
        <v>9.5070422535211196E-2</v>
      </c>
    </row>
    <row r="21" spans="1:8" x14ac:dyDescent="0.25">
      <c r="B21" t="s">
        <v>47</v>
      </c>
      <c r="C21" s="2">
        <v>5.2816901408450703E-2</v>
      </c>
      <c r="D21" s="2">
        <v>3.1690140845070401E-2</v>
      </c>
      <c r="E21" s="2">
        <v>3.8732394366197097E-2</v>
      </c>
      <c r="F21" s="2">
        <v>7.0422535211267599E-3</v>
      </c>
      <c r="G21" s="2">
        <v>2.4647887323943601E-2</v>
      </c>
      <c r="H21" s="2">
        <v>3.0985915492957712E-2</v>
      </c>
    </row>
    <row r="22" spans="1:8" x14ac:dyDescent="0.25">
      <c r="B22" t="s">
        <v>52</v>
      </c>
      <c r="C22" s="2">
        <v>4.92957746478873E-2</v>
      </c>
      <c r="D22" s="2">
        <v>2.8169014084507001E-2</v>
      </c>
      <c r="E22" s="2">
        <v>7.0422535211267595E-2</v>
      </c>
      <c r="F22" s="2">
        <v>5.9859154929577399E-2</v>
      </c>
      <c r="G22" s="2">
        <v>7.7464788732394305E-2</v>
      </c>
      <c r="H22" s="2">
        <v>5.7042253521126719E-2</v>
      </c>
    </row>
    <row r="23" spans="1:8" x14ac:dyDescent="0.25">
      <c r="A23" t="s">
        <v>57</v>
      </c>
      <c r="C23" s="2">
        <v>6.3380281690140775E-2</v>
      </c>
      <c r="D23" s="2">
        <v>8.3226632522406904E-2</v>
      </c>
      <c r="E23" s="2">
        <v>9.1549295774647751E-2</v>
      </c>
      <c r="F23" s="2">
        <v>0.10179257362355937</v>
      </c>
      <c r="G23" s="2">
        <v>0.10294117647058809</v>
      </c>
      <c r="H23" s="2">
        <v>8.9990764257677061E-2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79CE-8B0D-4DD7-9CD0-B31F352CA340}">
  <dimension ref="A1:J62"/>
  <sheetViews>
    <sheetView topLeftCell="A25" workbookViewId="0">
      <selection activeCell="E64" sqref="E64"/>
    </sheetView>
  </sheetViews>
  <sheetFormatPr defaultRowHeight="13.8" x14ac:dyDescent="0.25"/>
  <cols>
    <col min="2" max="2" width="50.21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177</v>
      </c>
    </row>
    <row r="2" spans="1:10" x14ac:dyDescent="0.25">
      <c r="A2" t="s">
        <v>59</v>
      </c>
      <c r="B2" t="s">
        <v>10</v>
      </c>
      <c r="C2" t="s">
        <v>11</v>
      </c>
      <c r="D2" t="s">
        <v>60</v>
      </c>
      <c r="E2">
        <v>3</v>
      </c>
      <c r="F2">
        <v>1</v>
      </c>
      <c r="G2">
        <v>283</v>
      </c>
      <c r="H2">
        <v>9</v>
      </c>
      <c r="I2">
        <v>3.5211267605633799E-3</v>
      </c>
      <c r="J2" t="s">
        <v>178</v>
      </c>
    </row>
    <row r="3" spans="1:10" x14ac:dyDescent="0.25">
      <c r="A3" t="s">
        <v>59</v>
      </c>
      <c r="B3" t="s">
        <v>61</v>
      </c>
      <c r="C3" t="s">
        <v>11</v>
      </c>
      <c r="D3" t="s">
        <v>62</v>
      </c>
      <c r="E3">
        <v>3</v>
      </c>
      <c r="F3">
        <v>0</v>
      </c>
      <c r="G3">
        <v>284</v>
      </c>
      <c r="H3">
        <v>0</v>
      </c>
      <c r="I3">
        <v>0</v>
      </c>
      <c r="J3" t="s">
        <v>178</v>
      </c>
    </row>
    <row r="4" spans="1:10" x14ac:dyDescent="0.25">
      <c r="A4" t="s">
        <v>59</v>
      </c>
      <c r="B4" t="s">
        <v>12</v>
      </c>
      <c r="C4" t="s">
        <v>11</v>
      </c>
      <c r="D4" t="s">
        <v>63</v>
      </c>
      <c r="E4">
        <v>3</v>
      </c>
      <c r="F4">
        <v>8</v>
      </c>
      <c r="G4">
        <v>276</v>
      </c>
      <c r="H4">
        <v>50</v>
      </c>
      <c r="I4">
        <v>2.8169014084507001E-2</v>
      </c>
      <c r="J4" t="s">
        <v>178</v>
      </c>
    </row>
    <row r="5" spans="1:10" x14ac:dyDescent="0.25">
      <c r="A5" t="s">
        <v>59</v>
      </c>
      <c r="B5" t="s">
        <v>13</v>
      </c>
      <c r="C5" t="s">
        <v>11</v>
      </c>
      <c r="D5" t="s">
        <v>64</v>
      </c>
      <c r="E5">
        <v>3</v>
      </c>
      <c r="F5">
        <v>6</v>
      </c>
      <c r="G5">
        <v>278</v>
      </c>
      <c r="H5">
        <v>72</v>
      </c>
      <c r="I5">
        <v>2.1126760563380202E-2</v>
      </c>
      <c r="J5" t="s">
        <v>178</v>
      </c>
    </row>
    <row r="6" spans="1:10" x14ac:dyDescent="0.25">
      <c r="A6" t="s">
        <v>59</v>
      </c>
      <c r="B6" t="s">
        <v>45</v>
      </c>
      <c r="C6" t="s">
        <v>11</v>
      </c>
      <c r="D6" t="s">
        <v>71</v>
      </c>
      <c r="E6">
        <v>3</v>
      </c>
      <c r="F6">
        <v>25</v>
      </c>
      <c r="G6">
        <v>259</v>
      </c>
      <c r="H6">
        <v>133</v>
      </c>
      <c r="I6">
        <v>8.8028169014084501E-2</v>
      </c>
      <c r="J6" t="s">
        <v>178</v>
      </c>
    </row>
    <row r="7" spans="1:10" x14ac:dyDescent="0.25">
      <c r="A7" t="s">
        <v>59</v>
      </c>
      <c r="B7" t="s">
        <v>46</v>
      </c>
      <c r="C7" t="s">
        <v>11</v>
      </c>
      <c r="D7" t="s">
        <v>72</v>
      </c>
      <c r="E7">
        <v>3</v>
      </c>
      <c r="F7">
        <v>27</v>
      </c>
      <c r="G7">
        <v>257</v>
      </c>
      <c r="H7">
        <v>153</v>
      </c>
      <c r="I7">
        <v>9.5070422535211196E-2</v>
      </c>
      <c r="J7" t="s">
        <v>178</v>
      </c>
    </row>
    <row r="8" spans="1:10" x14ac:dyDescent="0.25">
      <c r="A8" t="s">
        <v>9</v>
      </c>
      <c r="B8" t="s">
        <v>14</v>
      </c>
      <c r="C8" t="s">
        <v>15</v>
      </c>
      <c r="D8" t="s">
        <v>16</v>
      </c>
      <c r="E8">
        <v>1</v>
      </c>
      <c r="F8">
        <v>10</v>
      </c>
      <c r="G8">
        <v>274</v>
      </c>
      <c r="H8">
        <v>53</v>
      </c>
      <c r="I8">
        <v>3.5211267605633798E-2</v>
      </c>
      <c r="J8" t="s">
        <v>178</v>
      </c>
    </row>
    <row r="9" spans="1:10" x14ac:dyDescent="0.25">
      <c r="A9" t="s">
        <v>9</v>
      </c>
      <c r="B9" t="s">
        <v>14</v>
      </c>
      <c r="C9" t="s">
        <v>15</v>
      </c>
      <c r="D9" t="s">
        <v>17</v>
      </c>
      <c r="E9">
        <v>2</v>
      </c>
      <c r="F9">
        <v>3</v>
      </c>
      <c r="G9">
        <v>281</v>
      </c>
      <c r="H9">
        <v>20</v>
      </c>
      <c r="I9">
        <v>1.0563380281690101E-2</v>
      </c>
      <c r="J9" t="s">
        <v>178</v>
      </c>
    </row>
    <row r="10" spans="1:10" x14ac:dyDescent="0.25">
      <c r="A10" t="s">
        <v>9</v>
      </c>
      <c r="B10" t="s">
        <v>14</v>
      </c>
      <c r="C10" t="s">
        <v>11</v>
      </c>
      <c r="D10" t="s">
        <v>18</v>
      </c>
      <c r="E10">
        <v>1</v>
      </c>
      <c r="F10">
        <v>17</v>
      </c>
      <c r="G10">
        <v>267</v>
      </c>
      <c r="H10">
        <v>51</v>
      </c>
      <c r="I10">
        <v>5.9859154929577399E-2</v>
      </c>
      <c r="J10" t="s">
        <v>178</v>
      </c>
    </row>
    <row r="11" spans="1:10" x14ac:dyDescent="0.25">
      <c r="A11" t="s">
        <v>9</v>
      </c>
      <c r="B11" t="s">
        <v>14</v>
      </c>
      <c r="C11" t="s">
        <v>11</v>
      </c>
      <c r="D11" t="s">
        <v>19</v>
      </c>
      <c r="E11">
        <v>2</v>
      </c>
      <c r="F11">
        <v>0</v>
      </c>
      <c r="G11">
        <v>284</v>
      </c>
      <c r="H11">
        <v>0</v>
      </c>
      <c r="I11">
        <v>0</v>
      </c>
      <c r="J11" t="s">
        <v>178</v>
      </c>
    </row>
    <row r="12" spans="1:10" x14ac:dyDescent="0.25">
      <c r="A12" t="s">
        <v>9</v>
      </c>
      <c r="B12" t="s">
        <v>20</v>
      </c>
      <c r="C12" t="s">
        <v>15</v>
      </c>
      <c r="D12" t="s">
        <v>21</v>
      </c>
      <c r="E12">
        <v>1</v>
      </c>
      <c r="F12">
        <v>20</v>
      </c>
      <c r="G12">
        <v>264</v>
      </c>
      <c r="H12">
        <v>85</v>
      </c>
      <c r="I12">
        <v>7.0422535211267595E-2</v>
      </c>
      <c r="J12" t="s">
        <v>178</v>
      </c>
    </row>
    <row r="13" spans="1:10" x14ac:dyDescent="0.25">
      <c r="A13" t="s">
        <v>9</v>
      </c>
      <c r="B13" t="s">
        <v>20</v>
      </c>
      <c r="C13" t="s">
        <v>15</v>
      </c>
      <c r="D13" t="s">
        <v>22</v>
      </c>
      <c r="E13">
        <v>2</v>
      </c>
      <c r="F13">
        <v>10</v>
      </c>
      <c r="G13">
        <v>274</v>
      </c>
      <c r="H13">
        <v>62</v>
      </c>
      <c r="I13">
        <v>3.5211267605633798E-2</v>
      </c>
      <c r="J13" t="s">
        <v>178</v>
      </c>
    </row>
    <row r="14" spans="1:10" x14ac:dyDescent="0.25">
      <c r="A14" t="s">
        <v>9</v>
      </c>
      <c r="B14" t="s">
        <v>20</v>
      </c>
      <c r="C14" t="s">
        <v>11</v>
      </c>
      <c r="D14" t="s">
        <v>23</v>
      </c>
      <c r="E14">
        <v>1</v>
      </c>
      <c r="F14">
        <v>14</v>
      </c>
      <c r="G14">
        <v>270</v>
      </c>
      <c r="H14">
        <v>97</v>
      </c>
      <c r="I14">
        <v>4.92957746478873E-2</v>
      </c>
      <c r="J14" t="s">
        <v>178</v>
      </c>
    </row>
    <row r="15" spans="1:10" x14ac:dyDescent="0.25">
      <c r="A15" t="s">
        <v>9</v>
      </c>
      <c r="B15" t="s">
        <v>20</v>
      </c>
      <c r="C15" t="s">
        <v>11</v>
      </c>
      <c r="D15" t="s">
        <v>24</v>
      </c>
      <c r="E15">
        <v>2</v>
      </c>
      <c r="F15">
        <v>7</v>
      </c>
      <c r="G15">
        <v>277</v>
      </c>
      <c r="H15">
        <v>40</v>
      </c>
      <c r="I15">
        <v>2.4647887323943601E-2</v>
      </c>
      <c r="J15" t="s">
        <v>178</v>
      </c>
    </row>
    <row r="16" spans="1:10" x14ac:dyDescent="0.25">
      <c r="A16" t="s">
        <v>9</v>
      </c>
      <c r="B16" t="s">
        <v>25</v>
      </c>
      <c r="C16" t="s">
        <v>15</v>
      </c>
      <c r="D16" t="s">
        <v>26</v>
      </c>
      <c r="E16">
        <v>1</v>
      </c>
      <c r="F16">
        <v>16</v>
      </c>
      <c r="G16">
        <v>268</v>
      </c>
      <c r="H16">
        <v>80</v>
      </c>
      <c r="I16">
        <v>5.6338028169014003E-2</v>
      </c>
      <c r="J16" t="s">
        <v>178</v>
      </c>
    </row>
    <row r="17" spans="1:10" x14ac:dyDescent="0.25">
      <c r="A17" t="s">
        <v>9</v>
      </c>
      <c r="B17" t="s">
        <v>25</v>
      </c>
      <c r="C17" t="s">
        <v>15</v>
      </c>
      <c r="D17" t="s">
        <v>27</v>
      </c>
      <c r="E17">
        <v>2</v>
      </c>
      <c r="F17">
        <v>21</v>
      </c>
      <c r="G17">
        <v>263</v>
      </c>
      <c r="H17">
        <v>111</v>
      </c>
      <c r="I17">
        <v>7.3943661971830901E-2</v>
      </c>
      <c r="J17" t="s">
        <v>178</v>
      </c>
    </row>
    <row r="18" spans="1:10" x14ac:dyDescent="0.25">
      <c r="A18" t="s">
        <v>9</v>
      </c>
      <c r="B18" t="s">
        <v>25</v>
      </c>
      <c r="C18" t="s">
        <v>11</v>
      </c>
      <c r="D18" t="s">
        <v>28</v>
      </c>
      <c r="E18">
        <v>1</v>
      </c>
      <c r="F18">
        <v>31</v>
      </c>
      <c r="G18">
        <v>253</v>
      </c>
      <c r="H18">
        <v>119</v>
      </c>
      <c r="I18">
        <v>0.109154929577464</v>
      </c>
      <c r="J18" t="s">
        <v>178</v>
      </c>
    </row>
    <row r="19" spans="1:10" x14ac:dyDescent="0.25">
      <c r="A19" t="s">
        <v>9</v>
      </c>
      <c r="B19" t="s">
        <v>25</v>
      </c>
      <c r="C19" t="s">
        <v>11</v>
      </c>
      <c r="D19" t="s">
        <v>29</v>
      </c>
      <c r="E19">
        <v>2</v>
      </c>
      <c r="F19">
        <v>27</v>
      </c>
      <c r="G19">
        <v>257</v>
      </c>
      <c r="H19">
        <v>102</v>
      </c>
      <c r="I19">
        <v>9.5070422535211196E-2</v>
      </c>
      <c r="J19" t="s">
        <v>178</v>
      </c>
    </row>
    <row r="20" spans="1:10" x14ac:dyDescent="0.25">
      <c r="A20" t="s">
        <v>9</v>
      </c>
      <c r="B20" t="s">
        <v>30</v>
      </c>
      <c r="C20" t="s">
        <v>15</v>
      </c>
      <c r="D20" t="s">
        <v>31</v>
      </c>
      <c r="E20">
        <v>1</v>
      </c>
      <c r="F20">
        <v>1</v>
      </c>
      <c r="G20">
        <v>283</v>
      </c>
      <c r="H20">
        <v>9</v>
      </c>
      <c r="I20">
        <v>3.5211267605633799E-3</v>
      </c>
      <c r="J20" t="s">
        <v>178</v>
      </c>
    </row>
    <row r="21" spans="1:10" x14ac:dyDescent="0.25">
      <c r="A21" t="s">
        <v>9</v>
      </c>
      <c r="B21" t="s">
        <v>30</v>
      </c>
      <c r="C21" t="s">
        <v>15</v>
      </c>
      <c r="D21" t="s">
        <v>32</v>
      </c>
      <c r="E21">
        <v>2</v>
      </c>
      <c r="F21">
        <v>6</v>
      </c>
      <c r="G21">
        <v>278</v>
      </c>
      <c r="H21">
        <v>23</v>
      </c>
      <c r="I21">
        <v>2.1126760563380202E-2</v>
      </c>
      <c r="J21" t="s">
        <v>178</v>
      </c>
    </row>
    <row r="22" spans="1:10" x14ac:dyDescent="0.25">
      <c r="A22" t="s">
        <v>9</v>
      </c>
      <c r="B22" t="s">
        <v>30</v>
      </c>
      <c r="C22" t="s">
        <v>11</v>
      </c>
      <c r="D22" t="s">
        <v>33</v>
      </c>
      <c r="E22">
        <v>1</v>
      </c>
      <c r="F22">
        <v>0</v>
      </c>
      <c r="G22">
        <v>284</v>
      </c>
      <c r="H22">
        <v>0</v>
      </c>
      <c r="I22">
        <v>0</v>
      </c>
      <c r="J22" t="s">
        <v>178</v>
      </c>
    </row>
    <row r="23" spans="1:10" x14ac:dyDescent="0.25">
      <c r="A23" t="s">
        <v>9</v>
      </c>
      <c r="B23" t="s">
        <v>30</v>
      </c>
      <c r="C23" t="s">
        <v>11</v>
      </c>
      <c r="D23" t="s">
        <v>34</v>
      </c>
      <c r="E23">
        <v>2</v>
      </c>
      <c r="F23">
        <v>4</v>
      </c>
      <c r="G23">
        <v>280</v>
      </c>
      <c r="H23">
        <v>37</v>
      </c>
      <c r="I23">
        <v>1.4084507042253501E-2</v>
      </c>
      <c r="J23" t="s">
        <v>178</v>
      </c>
    </row>
    <row r="24" spans="1:10" x14ac:dyDescent="0.25">
      <c r="A24" t="s">
        <v>9</v>
      </c>
      <c r="B24" t="s">
        <v>35</v>
      </c>
      <c r="C24" t="s">
        <v>15</v>
      </c>
      <c r="D24" t="s">
        <v>36</v>
      </c>
      <c r="E24">
        <v>1</v>
      </c>
      <c r="F24">
        <v>32</v>
      </c>
      <c r="G24">
        <v>252</v>
      </c>
      <c r="H24">
        <v>210</v>
      </c>
      <c r="I24">
        <v>0.11267605633802801</v>
      </c>
      <c r="J24" t="s">
        <v>178</v>
      </c>
    </row>
    <row r="25" spans="1:10" x14ac:dyDescent="0.25">
      <c r="A25" t="s">
        <v>9</v>
      </c>
      <c r="B25" t="s">
        <v>35</v>
      </c>
      <c r="C25" t="s">
        <v>15</v>
      </c>
      <c r="D25" t="s">
        <v>37</v>
      </c>
      <c r="E25">
        <v>2</v>
      </c>
      <c r="F25">
        <v>33</v>
      </c>
      <c r="G25">
        <v>251</v>
      </c>
      <c r="H25">
        <v>220</v>
      </c>
      <c r="I25">
        <v>0.11619718309859101</v>
      </c>
      <c r="J25" t="s">
        <v>178</v>
      </c>
    </row>
    <row r="26" spans="1:10" x14ac:dyDescent="0.25">
      <c r="A26" t="s">
        <v>9</v>
      </c>
      <c r="B26" t="s">
        <v>35</v>
      </c>
      <c r="C26" t="s">
        <v>11</v>
      </c>
      <c r="D26" t="s">
        <v>38</v>
      </c>
      <c r="E26">
        <v>1</v>
      </c>
      <c r="F26">
        <v>38</v>
      </c>
      <c r="G26">
        <v>246</v>
      </c>
      <c r="H26">
        <v>210</v>
      </c>
      <c r="I26">
        <v>0.13380281690140799</v>
      </c>
      <c r="J26" t="s">
        <v>178</v>
      </c>
    </row>
    <row r="27" spans="1:10" x14ac:dyDescent="0.25">
      <c r="A27" t="s">
        <v>9</v>
      </c>
      <c r="B27" t="s">
        <v>35</v>
      </c>
      <c r="C27" t="s">
        <v>11</v>
      </c>
      <c r="D27" t="s">
        <v>39</v>
      </c>
      <c r="E27">
        <v>2</v>
      </c>
      <c r="F27">
        <v>57</v>
      </c>
      <c r="G27">
        <v>227</v>
      </c>
      <c r="H27">
        <v>121</v>
      </c>
      <c r="I27">
        <v>0.20070422535211199</v>
      </c>
      <c r="J27" t="s">
        <v>178</v>
      </c>
    </row>
    <row r="28" spans="1:10" x14ac:dyDescent="0.25">
      <c r="A28" t="s">
        <v>9</v>
      </c>
      <c r="B28" t="s">
        <v>40</v>
      </c>
      <c r="C28" t="s">
        <v>15</v>
      </c>
      <c r="D28" t="s">
        <v>41</v>
      </c>
      <c r="E28">
        <v>1</v>
      </c>
      <c r="F28">
        <v>15</v>
      </c>
      <c r="G28">
        <v>269</v>
      </c>
      <c r="H28">
        <v>102</v>
      </c>
      <c r="I28">
        <v>5.2816901408450703E-2</v>
      </c>
      <c r="J28" t="s">
        <v>178</v>
      </c>
    </row>
    <row r="29" spans="1:10" x14ac:dyDescent="0.25">
      <c r="A29" t="s">
        <v>9</v>
      </c>
      <c r="B29" t="s">
        <v>40</v>
      </c>
      <c r="C29" t="s">
        <v>15</v>
      </c>
      <c r="D29" t="s">
        <v>42</v>
      </c>
      <c r="E29">
        <v>2</v>
      </c>
      <c r="F29">
        <v>23</v>
      </c>
      <c r="G29">
        <v>261</v>
      </c>
      <c r="H29">
        <v>143</v>
      </c>
      <c r="I29">
        <v>8.0985915492957694E-2</v>
      </c>
      <c r="J29" t="s">
        <v>178</v>
      </c>
    </row>
    <row r="30" spans="1:10" x14ac:dyDescent="0.25">
      <c r="A30" t="s">
        <v>9</v>
      </c>
      <c r="B30" t="s">
        <v>40</v>
      </c>
      <c r="C30" t="s">
        <v>11</v>
      </c>
      <c r="D30" t="s">
        <v>43</v>
      </c>
      <c r="E30">
        <v>1</v>
      </c>
      <c r="F30">
        <v>28</v>
      </c>
      <c r="G30">
        <v>256</v>
      </c>
      <c r="H30">
        <v>211</v>
      </c>
      <c r="I30">
        <v>9.85915492957746E-2</v>
      </c>
      <c r="J30" t="s">
        <v>178</v>
      </c>
    </row>
    <row r="31" spans="1:10" x14ac:dyDescent="0.25">
      <c r="A31" t="s">
        <v>9</v>
      </c>
      <c r="B31" t="s">
        <v>40</v>
      </c>
      <c r="C31" t="s">
        <v>11</v>
      </c>
      <c r="D31" t="s">
        <v>44</v>
      </c>
      <c r="E31">
        <v>2</v>
      </c>
      <c r="F31">
        <v>40</v>
      </c>
      <c r="G31">
        <v>244</v>
      </c>
      <c r="H31">
        <v>187</v>
      </c>
      <c r="I31">
        <v>0.140845070422535</v>
      </c>
      <c r="J31" t="s">
        <v>178</v>
      </c>
    </row>
    <row r="32" spans="1:10" x14ac:dyDescent="0.25">
      <c r="A32" t="s">
        <v>9</v>
      </c>
      <c r="B32" t="s">
        <v>47</v>
      </c>
      <c r="C32" t="s">
        <v>15</v>
      </c>
      <c r="D32" t="s">
        <v>48</v>
      </c>
      <c r="E32">
        <v>1</v>
      </c>
      <c r="F32">
        <v>15</v>
      </c>
      <c r="G32">
        <v>269</v>
      </c>
      <c r="H32">
        <v>113</v>
      </c>
      <c r="I32">
        <v>5.2816901408450703E-2</v>
      </c>
      <c r="J32" t="s">
        <v>178</v>
      </c>
    </row>
    <row r="33" spans="1:10" x14ac:dyDescent="0.25">
      <c r="A33" t="s">
        <v>9</v>
      </c>
      <c r="B33" t="s">
        <v>47</v>
      </c>
      <c r="C33" t="s">
        <v>15</v>
      </c>
      <c r="D33" t="s">
        <v>49</v>
      </c>
      <c r="E33">
        <v>2</v>
      </c>
      <c r="F33">
        <v>11</v>
      </c>
      <c r="G33">
        <v>273</v>
      </c>
      <c r="H33">
        <v>125</v>
      </c>
      <c r="I33">
        <v>3.8732394366197097E-2</v>
      </c>
      <c r="J33" t="s">
        <v>178</v>
      </c>
    </row>
    <row r="34" spans="1:10" x14ac:dyDescent="0.25">
      <c r="A34" t="s">
        <v>9</v>
      </c>
      <c r="B34" t="s">
        <v>47</v>
      </c>
      <c r="C34" t="s">
        <v>11</v>
      </c>
      <c r="D34" t="s">
        <v>50</v>
      </c>
      <c r="E34">
        <v>1</v>
      </c>
      <c r="F34">
        <v>9</v>
      </c>
      <c r="G34">
        <v>275</v>
      </c>
      <c r="H34">
        <v>109</v>
      </c>
      <c r="I34">
        <v>3.1690140845070401E-2</v>
      </c>
      <c r="J34" t="s">
        <v>178</v>
      </c>
    </row>
    <row r="35" spans="1:10" x14ac:dyDescent="0.25">
      <c r="A35" t="s">
        <v>9</v>
      </c>
      <c r="B35" t="s">
        <v>47</v>
      </c>
      <c r="C35" t="s">
        <v>11</v>
      </c>
      <c r="D35" t="s">
        <v>51</v>
      </c>
      <c r="E35">
        <v>2</v>
      </c>
      <c r="F35">
        <v>2</v>
      </c>
      <c r="G35">
        <v>282</v>
      </c>
      <c r="H35">
        <v>15</v>
      </c>
      <c r="I35">
        <v>7.0422535211267599E-3</v>
      </c>
      <c r="J35" t="s">
        <v>178</v>
      </c>
    </row>
    <row r="36" spans="1:10" x14ac:dyDescent="0.25">
      <c r="A36" t="s">
        <v>9</v>
      </c>
      <c r="B36" t="s">
        <v>52</v>
      </c>
      <c r="C36" t="s">
        <v>15</v>
      </c>
      <c r="D36" t="s">
        <v>53</v>
      </c>
      <c r="E36">
        <v>1</v>
      </c>
      <c r="F36">
        <v>14</v>
      </c>
      <c r="G36">
        <v>270</v>
      </c>
      <c r="H36">
        <v>136</v>
      </c>
      <c r="I36">
        <v>4.92957746478873E-2</v>
      </c>
      <c r="J36" t="s">
        <v>178</v>
      </c>
    </row>
    <row r="37" spans="1:10" x14ac:dyDescent="0.25">
      <c r="A37" t="s">
        <v>9</v>
      </c>
      <c r="B37" t="s">
        <v>52</v>
      </c>
      <c r="C37" t="s">
        <v>15</v>
      </c>
      <c r="D37" t="s">
        <v>54</v>
      </c>
      <c r="E37">
        <v>2</v>
      </c>
      <c r="F37">
        <v>20</v>
      </c>
      <c r="G37">
        <v>264</v>
      </c>
      <c r="H37">
        <v>87</v>
      </c>
      <c r="I37">
        <v>7.0422535211267595E-2</v>
      </c>
      <c r="J37" t="s">
        <v>178</v>
      </c>
    </row>
    <row r="38" spans="1:10" x14ac:dyDescent="0.25">
      <c r="A38" t="s">
        <v>9</v>
      </c>
      <c r="B38" t="s">
        <v>52</v>
      </c>
      <c r="C38" t="s">
        <v>11</v>
      </c>
      <c r="D38" t="s">
        <v>55</v>
      </c>
      <c r="E38">
        <v>1</v>
      </c>
      <c r="F38">
        <v>8</v>
      </c>
      <c r="G38">
        <v>276</v>
      </c>
      <c r="H38">
        <v>71</v>
      </c>
      <c r="I38">
        <v>2.8169014084507001E-2</v>
      </c>
      <c r="J38" t="s">
        <v>178</v>
      </c>
    </row>
    <row r="39" spans="1:10" x14ac:dyDescent="0.25">
      <c r="A39" t="s">
        <v>9</v>
      </c>
      <c r="B39" t="s">
        <v>52</v>
      </c>
      <c r="C39" t="s">
        <v>11</v>
      </c>
      <c r="D39" t="s">
        <v>56</v>
      </c>
      <c r="E39">
        <v>2</v>
      </c>
      <c r="F39">
        <v>17</v>
      </c>
      <c r="G39">
        <v>267</v>
      </c>
      <c r="H39">
        <v>59</v>
      </c>
      <c r="I39">
        <v>5.9859154929577399E-2</v>
      </c>
      <c r="J39" t="s">
        <v>178</v>
      </c>
    </row>
    <row r="40" spans="1:10" x14ac:dyDescent="0.25">
      <c r="A40" t="s">
        <v>59</v>
      </c>
      <c r="B40" t="s">
        <v>14</v>
      </c>
      <c r="C40" t="s">
        <v>11</v>
      </c>
      <c r="D40" t="s">
        <v>65</v>
      </c>
      <c r="E40">
        <v>3</v>
      </c>
      <c r="F40">
        <v>38</v>
      </c>
      <c r="G40">
        <v>246</v>
      </c>
      <c r="H40">
        <v>192</v>
      </c>
      <c r="I40">
        <v>0.13380281690140799</v>
      </c>
      <c r="J40" t="s">
        <v>178</v>
      </c>
    </row>
    <row r="41" spans="1:10" x14ac:dyDescent="0.25">
      <c r="A41" t="s">
        <v>59</v>
      </c>
      <c r="B41" t="s">
        <v>20</v>
      </c>
      <c r="C41" t="s">
        <v>11</v>
      </c>
      <c r="D41" t="s">
        <v>66</v>
      </c>
      <c r="E41">
        <v>3</v>
      </c>
      <c r="F41">
        <v>40</v>
      </c>
      <c r="G41">
        <v>244</v>
      </c>
      <c r="H41">
        <v>209</v>
      </c>
      <c r="I41">
        <v>0.140845070422535</v>
      </c>
      <c r="J41" t="s">
        <v>178</v>
      </c>
    </row>
    <row r="42" spans="1:10" x14ac:dyDescent="0.25">
      <c r="A42" t="s">
        <v>59</v>
      </c>
      <c r="B42" t="s">
        <v>25</v>
      </c>
      <c r="C42" t="s">
        <v>11</v>
      </c>
      <c r="D42" t="s">
        <v>67</v>
      </c>
      <c r="E42">
        <v>3</v>
      </c>
      <c r="F42">
        <v>23</v>
      </c>
      <c r="G42">
        <v>261</v>
      </c>
      <c r="H42">
        <v>164</v>
      </c>
      <c r="I42">
        <v>8.0985915492957694E-2</v>
      </c>
      <c r="J42" t="s">
        <v>178</v>
      </c>
    </row>
    <row r="43" spans="1:10" x14ac:dyDescent="0.25">
      <c r="A43" t="s">
        <v>59</v>
      </c>
      <c r="B43" t="s">
        <v>30</v>
      </c>
      <c r="C43" t="s">
        <v>11</v>
      </c>
      <c r="D43" t="s">
        <v>68</v>
      </c>
      <c r="E43">
        <v>3</v>
      </c>
      <c r="F43">
        <v>1</v>
      </c>
      <c r="G43">
        <v>283</v>
      </c>
      <c r="H43">
        <v>9</v>
      </c>
      <c r="I43">
        <v>3.5211267605633799E-3</v>
      </c>
      <c r="J43" t="s">
        <v>178</v>
      </c>
    </row>
    <row r="44" spans="1:10" x14ac:dyDescent="0.25">
      <c r="A44" t="s">
        <v>59</v>
      </c>
      <c r="B44" t="s">
        <v>35</v>
      </c>
      <c r="C44" t="s">
        <v>11</v>
      </c>
      <c r="D44" t="s">
        <v>69</v>
      </c>
      <c r="E44">
        <v>3</v>
      </c>
      <c r="F44">
        <v>38</v>
      </c>
      <c r="G44">
        <v>246</v>
      </c>
      <c r="H44">
        <v>203</v>
      </c>
      <c r="I44">
        <v>0.13380281690140799</v>
      </c>
      <c r="J44" t="s">
        <v>178</v>
      </c>
    </row>
    <row r="45" spans="1:10" x14ac:dyDescent="0.25">
      <c r="A45" t="s">
        <v>59</v>
      </c>
      <c r="B45" t="s">
        <v>40</v>
      </c>
      <c r="C45" t="s">
        <v>11</v>
      </c>
      <c r="D45" t="s">
        <v>70</v>
      </c>
      <c r="E45">
        <v>3</v>
      </c>
      <c r="F45">
        <v>33</v>
      </c>
      <c r="G45">
        <v>251</v>
      </c>
      <c r="H45">
        <v>200</v>
      </c>
      <c r="I45">
        <v>0.11619718309859101</v>
      </c>
      <c r="J45" t="s">
        <v>178</v>
      </c>
    </row>
    <row r="46" spans="1:10" x14ac:dyDescent="0.25">
      <c r="A46" t="s">
        <v>59</v>
      </c>
      <c r="B46" t="s">
        <v>47</v>
      </c>
      <c r="C46" t="s">
        <v>11</v>
      </c>
      <c r="D46" t="s">
        <v>73</v>
      </c>
      <c r="E46">
        <v>3</v>
      </c>
      <c r="F46">
        <v>7</v>
      </c>
      <c r="G46">
        <v>277</v>
      </c>
      <c r="H46">
        <v>55</v>
      </c>
      <c r="I46">
        <v>2.4647887323943601E-2</v>
      </c>
      <c r="J46" t="s">
        <v>178</v>
      </c>
    </row>
    <row r="47" spans="1:10" x14ac:dyDescent="0.25">
      <c r="A47" t="s">
        <v>59</v>
      </c>
      <c r="B47" t="s">
        <v>52</v>
      </c>
      <c r="C47" t="s">
        <v>11</v>
      </c>
      <c r="D47" t="s">
        <v>74</v>
      </c>
      <c r="E47">
        <v>3</v>
      </c>
      <c r="F47">
        <v>22</v>
      </c>
      <c r="G47">
        <v>262</v>
      </c>
      <c r="H47">
        <v>204</v>
      </c>
      <c r="I47">
        <v>7.7464788732394305E-2</v>
      </c>
      <c r="J47" t="s">
        <v>178</v>
      </c>
    </row>
    <row r="48" spans="1:10" x14ac:dyDescent="0.25">
      <c r="A48" t="s">
        <v>182</v>
      </c>
      <c r="B48" t="s">
        <v>149</v>
      </c>
      <c r="C48" t="s">
        <v>15</v>
      </c>
      <c r="D48" t="s">
        <v>183</v>
      </c>
      <c r="E48">
        <v>1</v>
      </c>
      <c r="F48">
        <v>22</v>
      </c>
      <c r="G48">
        <v>262</v>
      </c>
      <c r="H48">
        <v>50</v>
      </c>
      <c r="I48">
        <v>7.7464788732394305E-2</v>
      </c>
      <c r="J48" t="s">
        <v>179</v>
      </c>
    </row>
    <row r="49" spans="1:10" x14ac:dyDescent="0.25">
      <c r="A49" t="s">
        <v>182</v>
      </c>
      <c r="B49" t="s">
        <v>149</v>
      </c>
      <c r="C49" t="s">
        <v>15</v>
      </c>
      <c r="D49" t="s">
        <v>184</v>
      </c>
      <c r="E49">
        <v>2</v>
      </c>
      <c r="F49">
        <v>43</v>
      </c>
      <c r="G49">
        <v>241</v>
      </c>
      <c r="H49">
        <v>115</v>
      </c>
      <c r="I49">
        <v>0.15140845070422501</v>
      </c>
      <c r="J49" t="s">
        <v>179</v>
      </c>
    </row>
    <row r="50" spans="1:10" x14ac:dyDescent="0.25">
      <c r="A50" t="s">
        <v>182</v>
      </c>
      <c r="B50" t="s">
        <v>149</v>
      </c>
      <c r="C50" t="s">
        <v>11</v>
      </c>
      <c r="D50" t="s">
        <v>185</v>
      </c>
      <c r="E50">
        <v>1</v>
      </c>
      <c r="F50">
        <v>41</v>
      </c>
      <c r="G50">
        <v>243</v>
      </c>
      <c r="H50">
        <v>144</v>
      </c>
      <c r="I50">
        <v>0.14436619718309801</v>
      </c>
      <c r="J50" t="s">
        <v>179</v>
      </c>
    </row>
    <row r="51" spans="1:10" x14ac:dyDescent="0.25">
      <c r="A51" t="s">
        <v>182</v>
      </c>
      <c r="B51" t="s">
        <v>149</v>
      </c>
      <c r="C51" t="s">
        <v>11</v>
      </c>
      <c r="D51" t="s">
        <v>186</v>
      </c>
      <c r="E51">
        <v>2</v>
      </c>
      <c r="F51">
        <v>45</v>
      </c>
      <c r="G51">
        <v>239</v>
      </c>
      <c r="H51">
        <v>152</v>
      </c>
      <c r="I51">
        <v>0.15845070422535201</v>
      </c>
      <c r="J51" t="s">
        <v>179</v>
      </c>
    </row>
    <row r="52" spans="1:10" x14ac:dyDescent="0.25">
      <c r="A52" t="s">
        <v>182</v>
      </c>
      <c r="B52" t="s">
        <v>149</v>
      </c>
      <c r="C52" t="s">
        <v>11</v>
      </c>
      <c r="D52" t="s">
        <v>187</v>
      </c>
      <c r="E52">
        <v>3</v>
      </c>
      <c r="F52">
        <v>90</v>
      </c>
      <c r="G52">
        <v>194</v>
      </c>
      <c r="H52">
        <v>212</v>
      </c>
      <c r="I52">
        <v>0.31690140845070403</v>
      </c>
      <c r="J52" t="s">
        <v>179</v>
      </c>
    </row>
    <row r="53" spans="1:10" x14ac:dyDescent="0.25">
      <c r="A53" t="s">
        <v>182</v>
      </c>
      <c r="B53" t="s">
        <v>151</v>
      </c>
      <c r="C53" t="s">
        <v>15</v>
      </c>
      <c r="D53" t="s">
        <v>188</v>
      </c>
      <c r="E53">
        <v>1</v>
      </c>
      <c r="F53">
        <v>7</v>
      </c>
      <c r="G53">
        <v>277</v>
      </c>
      <c r="H53">
        <v>37</v>
      </c>
      <c r="I53">
        <v>2.4647887323943601E-2</v>
      </c>
      <c r="J53" t="s">
        <v>179</v>
      </c>
    </row>
    <row r="54" spans="1:10" x14ac:dyDescent="0.25">
      <c r="A54" t="s">
        <v>182</v>
      </c>
      <c r="B54" t="s">
        <v>151</v>
      </c>
      <c r="C54" t="s">
        <v>15</v>
      </c>
      <c r="D54" t="s">
        <v>189</v>
      </c>
      <c r="E54">
        <v>2</v>
      </c>
      <c r="F54">
        <v>7</v>
      </c>
      <c r="G54">
        <v>277</v>
      </c>
      <c r="H54">
        <v>37</v>
      </c>
      <c r="I54">
        <v>2.4647887323943601E-2</v>
      </c>
      <c r="J54" t="s">
        <v>179</v>
      </c>
    </row>
    <row r="55" spans="1:10" x14ac:dyDescent="0.25">
      <c r="A55" t="s">
        <v>182</v>
      </c>
      <c r="B55" t="s">
        <v>151</v>
      </c>
      <c r="C55" t="s">
        <v>11</v>
      </c>
      <c r="D55" t="s">
        <v>190</v>
      </c>
      <c r="E55">
        <v>1</v>
      </c>
      <c r="F55">
        <v>6</v>
      </c>
      <c r="G55">
        <v>278</v>
      </c>
      <c r="H55">
        <v>23</v>
      </c>
      <c r="I55">
        <v>2.1126760563380202E-2</v>
      </c>
      <c r="J55" t="s">
        <v>179</v>
      </c>
    </row>
    <row r="56" spans="1:10" x14ac:dyDescent="0.25">
      <c r="A56" t="s">
        <v>182</v>
      </c>
      <c r="B56" t="s">
        <v>151</v>
      </c>
      <c r="C56" t="s">
        <v>11</v>
      </c>
      <c r="D56" t="s">
        <v>191</v>
      </c>
      <c r="E56">
        <v>2</v>
      </c>
      <c r="F56">
        <v>7</v>
      </c>
      <c r="G56">
        <v>277</v>
      </c>
      <c r="H56">
        <v>37</v>
      </c>
      <c r="I56">
        <v>2.4647887323943601E-2</v>
      </c>
      <c r="J56" t="s">
        <v>179</v>
      </c>
    </row>
    <row r="57" spans="1:10" x14ac:dyDescent="0.25">
      <c r="A57" t="s">
        <v>182</v>
      </c>
      <c r="B57" t="s">
        <v>151</v>
      </c>
      <c r="C57" t="s">
        <v>11</v>
      </c>
      <c r="D57" t="s">
        <v>192</v>
      </c>
      <c r="E57">
        <v>3</v>
      </c>
      <c r="F57">
        <v>11</v>
      </c>
      <c r="G57">
        <v>273</v>
      </c>
      <c r="H57">
        <v>69</v>
      </c>
      <c r="I57">
        <v>3.8732394366197097E-2</v>
      </c>
      <c r="J57" t="s">
        <v>179</v>
      </c>
    </row>
    <row r="58" spans="1:10" x14ac:dyDescent="0.25">
      <c r="A58" t="s">
        <v>182</v>
      </c>
      <c r="B58" t="s">
        <v>150</v>
      </c>
      <c r="C58" t="s">
        <v>15</v>
      </c>
      <c r="D58" t="s">
        <v>193</v>
      </c>
      <c r="E58">
        <v>1</v>
      </c>
      <c r="F58">
        <v>46</v>
      </c>
      <c r="G58">
        <v>238</v>
      </c>
      <c r="H58">
        <v>199</v>
      </c>
      <c r="I58">
        <v>0.161971830985915</v>
      </c>
      <c r="J58" t="s">
        <v>179</v>
      </c>
    </row>
    <row r="59" spans="1:10" x14ac:dyDescent="0.25">
      <c r="A59" t="s">
        <v>182</v>
      </c>
      <c r="B59" t="s">
        <v>150</v>
      </c>
      <c r="C59" t="s">
        <v>15</v>
      </c>
      <c r="D59" t="s">
        <v>194</v>
      </c>
      <c r="E59">
        <v>2</v>
      </c>
      <c r="F59">
        <v>109</v>
      </c>
      <c r="G59">
        <v>175</v>
      </c>
      <c r="H59">
        <v>240</v>
      </c>
      <c r="I59">
        <v>0.38380281690140799</v>
      </c>
      <c r="J59" t="s">
        <v>179</v>
      </c>
    </row>
    <row r="60" spans="1:10" x14ac:dyDescent="0.25">
      <c r="A60" t="s">
        <v>182</v>
      </c>
      <c r="B60" t="s">
        <v>150</v>
      </c>
      <c r="C60" t="s">
        <v>11</v>
      </c>
      <c r="D60" t="s">
        <v>195</v>
      </c>
      <c r="E60">
        <v>1</v>
      </c>
      <c r="F60">
        <v>68</v>
      </c>
      <c r="G60">
        <v>216</v>
      </c>
      <c r="H60">
        <v>247</v>
      </c>
      <c r="I60">
        <v>0.23943661971830901</v>
      </c>
      <c r="J60" t="s">
        <v>179</v>
      </c>
    </row>
    <row r="61" spans="1:10" x14ac:dyDescent="0.25">
      <c r="A61" t="s">
        <v>182</v>
      </c>
      <c r="B61" t="s">
        <v>150</v>
      </c>
      <c r="C61" t="s">
        <v>11</v>
      </c>
      <c r="D61" t="s">
        <v>196</v>
      </c>
      <c r="E61">
        <v>2</v>
      </c>
      <c r="F61">
        <v>112</v>
      </c>
      <c r="G61">
        <v>172</v>
      </c>
      <c r="H61">
        <v>263</v>
      </c>
      <c r="I61">
        <v>0.39436619718309801</v>
      </c>
      <c r="J61" t="s">
        <v>179</v>
      </c>
    </row>
    <row r="62" spans="1:10" x14ac:dyDescent="0.25">
      <c r="A62" t="s">
        <v>182</v>
      </c>
      <c r="B62" t="s">
        <v>150</v>
      </c>
      <c r="C62" t="s">
        <v>11</v>
      </c>
      <c r="D62" t="s">
        <v>197</v>
      </c>
      <c r="E62">
        <v>3</v>
      </c>
      <c r="F62">
        <v>127</v>
      </c>
      <c r="G62">
        <v>157</v>
      </c>
      <c r="H62">
        <v>231</v>
      </c>
      <c r="I62">
        <v>0.44718309859154898</v>
      </c>
      <c r="J62" t="s">
        <v>179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Formatted</vt:lpstr>
      <vt:lpstr>Calculation</vt:lpstr>
      <vt:lpstr>Python Pivot</vt:lpstr>
      <vt:lpstr>Python</vt:lpstr>
      <vt:lpstr>Java Pivot</vt:lpstr>
      <vt:lpstr>Java</vt:lpstr>
      <vt:lpstr>JavaScript Pivot</vt:lpstr>
      <vt:lpstr>JavaScript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瑞安 刘</cp:lastModifiedBy>
  <dcterms:created xsi:type="dcterms:W3CDTF">2025-10-31T02:54:40Z</dcterms:created>
  <dcterms:modified xsi:type="dcterms:W3CDTF">2025-11-01T07:19:50Z</dcterms:modified>
</cp:coreProperties>
</file>